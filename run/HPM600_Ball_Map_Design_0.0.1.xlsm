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PM\copy\HPM600\testbench_building\"/>
    </mc:Choice>
  </mc:AlternateContent>
  <xr:revisionPtr revIDLastSave="0" documentId="13_ncr:1_{52E86677-DDD9-4882-8E9F-8AD2EA0D57DF}" xr6:coauthVersionLast="47" xr6:coauthVersionMax="47" xr10:uidLastSave="{00000000-0000-0000-0000-000000000000}"/>
  <bookViews>
    <workbookView xWindow="19090" yWindow="-8850" windowWidth="38620" windowHeight="21220" activeTab="1" xr2:uid="{00000000-000D-0000-FFFF-FFFF00000000}"/>
  </bookViews>
  <sheets>
    <sheet name="PINMUX" sheetId="1" r:id="rId1"/>
    <sheet name="PINMUX_PMIC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2" l="1"/>
  <c r="E18" i="2"/>
  <c r="D18" i="2"/>
  <c r="G18" i="2" s="1"/>
  <c r="C18" i="2"/>
  <c r="B18" i="2"/>
  <c r="A18" i="2"/>
  <c r="H17" i="2"/>
  <c r="G17" i="2"/>
  <c r="E17" i="2"/>
  <c r="D17" i="2"/>
  <c r="F17" i="2" s="1"/>
  <c r="C17" i="2"/>
  <c r="B17" i="2"/>
  <c r="A17" i="2"/>
  <c r="H16" i="2"/>
  <c r="F16" i="2"/>
  <c r="E16" i="2"/>
  <c r="D16" i="2"/>
  <c r="G16" i="2" s="1"/>
  <c r="C16" i="2"/>
  <c r="B16" i="2"/>
  <c r="A16" i="2"/>
  <c r="G15" i="2"/>
  <c r="E15" i="2"/>
  <c r="H15" i="2" s="1"/>
  <c r="D15" i="2"/>
  <c r="F15" i="2" s="1"/>
  <c r="C15" i="2"/>
  <c r="B15" i="2"/>
  <c r="A15" i="2"/>
  <c r="E14" i="2"/>
  <c r="H14" i="2" s="1"/>
  <c r="D14" i="2"/>
  <c r="F14" i="2" s="1"/>
  <c r="C14" i="2"/>
  <c r="B14" i="2"/>
  <c r="A14" i="2"/>
  <c r="E13" i="2"/>
  <c r="H13" i="2" s="1"/>
  <c r="D13" i="2"/>
  <c r="G13" i="2" s="1"/>
  <c r="C13" i="2"/>
  <c r="B13" i="2"/>
  <c r="A13" i="2"/>
  <c r="H12" i="2"/>
  <c r="E12" i="2"/>
  <c r="D12" i="2"/>
  <c r="G12" i="2" s="1"/>
  <c r="C12" i="2"/>
  <c r="B12" i="2"/>
  <c r="A12" i="2"/>
  <c r="E11" i="2"/>
  <c r="H11" i="2" s="1"/>
  <c r="D11" i="2"/>
  <c r="G11" i="2" s="1"/>
  <c r="C11" i="2"/>
  <c r="B11" i="2"/>
  <c r="A11" i="2"/>
  <c r="H10" i="2"/>
  <c r="E10" i="2"/>
  <c r="D10" i="2"/>
  <c r="G10" i="2" s="1"/>
  <c r="C10" i="2"/>
  <c r="B10" i="2"/>
  <c r="A10" i="2"/>
  <c r="H9" i="2"/>
  <c r="G9" i="2"/>
  <c r="E9" i="2"/>
  <c r="D9" i="2"/>
  <c r="F9" i="2" s="1"/>
  <c r="C9" i="2"/>
  <c r="B9" i="2"/>
  <c r="A9" i="2"/>
  <c r="H8" i="2"/>
  <c r="F8" i="2"/>
  <c r="E8" i="2"/>
  <c r="D8" i="2"/>
  <c r="G8" i="2" s="1"/>
  <c r="C8" i="2"/>
  <c r="B8" i="2"/>
  <c r="A8" i="2"/>
  <c r="G7" i="2"/>
  <c r="E7" i="2"/>
  <c r="H7" i="2" s="1"/>
  <c r="D7" i="2"/>
  <c r="C7" i="2"/>
  <c r="B7" i="2"/>
  <c r="A7" i="2"/>
  <c r="E6" i="2"/>
  <c r="H6" i="2" s="1"/>
  <c r="D6" i="2"/>
  <c r="F6" i="2" s="1"/>
  <c r="C6" i="2"/>
  <c r="B6" i="2"/>
  <c r="A6" i="2"/>
  <c r="E5" i="2"/>
  <c r="H5" i="2" s="1"/>
  <c r="D5" i="2"/>
  <c r="G5" i="2" s="1"/>
  <c r="C5" i="2"/>
  <c r="B5" i="2"/>
  <c r="A5" i="2"/>
  <c r="H4" i="2"/>
  <c r="E4" i="2"/>
  <c r="D4" i="2"/>
  <c r="G4" i="2" s="1"/>
  <c r="C4" i="2"/>
  <c r="B4" i="2"/>
  <c r="A4" i="2"/>
  <c r="E3" i="2"/>
  <c r="H3" i="2" s="1"/>
  <c r="D3" i="2"/>
  <c r="G3" i="2" s="1"/>
  <c r="C3" i="2"/>
  <c r="B3" i="2"/>
  <c r="A3" i="2"/>
  <c r="F7" i="2" l="1"/>
  <c r="F5" i="2"/>
  <c r="G6" i="2"/>
  <c r="F13" i="2"/>
  <c r="G14" i="2"/>
  <c r="F4" i="2"/>
  <c r="F12" i="2"/>
  <c r="F11" i="2"/>
  <c r="F3" i="2"/>
  <c r="F10" i="2"/>
  <c r="F18" i="2"/>
</calcChain>
</file>

<file path=xl/sharedStrings.xml><?xml version="1.0" encoding="utf-8"?>
<sst xmlns="http://schemas.openxmlformats.org/spreadsheetml/2006/main" count="3329" uniqueCount="2310">
  <si>
    <t>RI</t>
  </si>
  <si>
    <t>CI</t>
  </si>
  <si>
    <t>BALLNAME</t>
  </si>
  <si>
    <t>MUX</t>
  </si>
  <si>
    <t>BANK</t>
  </si>
  <si>
    <t>TYPE</t>
  </si>
  <si>
    <t>ALT0</t>
  </si>
  <si>
    <t>ALT1</t>
  </si>
  <si>
    <t>ALT2</t>
  </si>
  <si>
    <t>ALT3</t>
  </si>
  <si>
    <t>ALT4</t>
  </si>
  <si>
    <t>ALT5</t>
  </si>
  <si>
    <t>ALT6</t>
  </si>
  <si>
    <t>ALT7</t>
  </si>
  <si>
    <t>ALT8</t>
  </si>
  <si>
    <t>ALT9</t>
  </si>
  <si>
    <t>ALT10</t>
  </si>
  <si>
    <t>ALT11</t>
  </si>
  <si>
    <t>ALT12</t>
  </si>
  <si>
    <t>ALT13</t>
  </si>
  <si>
    <t>ALT14</t>
  </si>
  <si>
    <t>ALT15</t>
  </si>
  <si>
    <t>ALT16</t>
  </si>
  <si>
    <t>ALT17</t>
  </si>
  <si>
    <t>ALT18</t>
  </si>
  <si>
    <t>ALT19</t>
  </si>
  <si>
    <t>ALT20</t>
  </si>
  <si>
    <t>ALT21</t>
  </si>
  <si>
    <t>ALT22</t>
  </si>
  <si>
    <t>ALT23</t>
  </si>
  <si>
    <t>ALT24</t>
  </si>
  <si>
    <t>ALT25</t>
  </si>
  <si>
    <t>ALT26</t>
  </si>
  <si>
    <t>ALT27</t>
  </si>
  <si>
    <t>ALT28</t>
  </si>
  <si>
    <t>ALT29</t>
  </si>
  <si>
    <t>ALT30</t>
  </si>
  <si>
    <t>ALT31</t>
  </si>
  <si>
    <t>BSCAN</t>
  </si>
  <si>
    <t>ROW_289</t>
  </si>
  <si>
    <t>COL_289</t>
  </si>
  <si>
    <t>COORD_289</t>
  </si>
  <si>
    <t>ROW_196</t>
  </si>
  <si>
    <t>COL_196</t>
  </si>
  <si>
    <t>COORD_196</t>
  </si>
  <si>
    <t>ROW_172</t>
  </si>
  <si>
    <t>COL_172</t>
  </si>
  <si>
    <t>COORD_172</t>
  </si>
  <si>
    <t>ROW_144</t>
  </si>
  <si>
    <t>COL_144</t>
  </si>
  <si>
    <t>COORD_144</t>
  </si>
  <si>
    <t>ROW_121</t>
  </si>
  <si>
    <t>COL_121</t>
  </si>
  <si>
    <t>COORD_121</t>
  </si>
  <si>
    <t>ROW_116</t>
  </si>
  <si>
    <t>COL_116</t>
  </si>
  <si>
    <t>COORD_116</t>
  </si>
  <si>
    <t>GPIO</t>
  </si>
  <si>
    <t>TMR</t>
  </si>
  <si>
    <t>UART_A</t>
  </si>
  <si>
    <t>UART_B</t>
  </si>
  <si>
    <t>I2C</t>
  </si>
  <si>
    <t>SPI</t>
  </si>
  <si>
    <t>LIN_A_RSV</t>
  </si>
  <si>
    <t>CAN</t>
  </si>
  <si>
    <t>AUD_A</t>
  </si>
  <si>
    <t>AUD_B</t>
  </si>
  <si>
    <t>TSW_A</t>
  </si>
  <si>
    <t>ESC_A</t>
  </si>
  <si>
    <t>SDR32</t>
  </si>
  <si>
    <t>PPI</t>
  </si>
  <si>
    <t>QSPI</t>
  </si>
  <si>
    <t>RSV_A</t>
  </si>
  <si>
    <t>PWM</t>
  </si>
  <si>
    <t>TRGM</t>
  </si>
  <si>
    <t>ETH_A</t>
  </si>
  <si>
    <t>EMPTY</t>
  </si>
  <si>
    <t>QEI</t>
  </si>
  <si>
    <t>QEO</t>
  </si>
  <si>
    <t>SEI</t>
  </si>
  <si>
    <t>SDM</t>
  </si>
  <si>
    <t>MISC_A</t>
  </si>
  <si>
    <t>MISC_B</t>
  </si>
  <si>
    <t>MISC_C</t>
  </si>
  <si>
    <t>MISC_D</t>
  </si>
  <si>
    <t>TEST_PORT</t>
  </si>
  <si>
    <t>TEST_BUS</t>
  </si>
  <si>
    <t>DEFAULT</t>
  </si>
  <si>
    <t>ADC0</t>
  </si>
  <si>
    <t>ADC1</t>
  </si>
  <si>
    <t>ADC2</t>
  </si>
  <si>
    <t>ADC3</t>
  </si>
  <si>
    <t>ADC4</t>
  </si>
  <si>
    <t>CMP0</t>
  </si>
  <si>
    <t>CMP1</t>
  </si>
  <si>
    <t>CMP2</t>
  </si>
  <si>
    <t>CMP3</t>
  </si>
  <si>
    <t>CMP4</t>
  </si>
  <si>
    <t>CMP5</t>
  </si>
  <si>
    <t>CMP6</t>
  </si>
  <si>
    <t>CMP7</t>
  </si>
  <si>
    <t>SDA0</t>
  </si>
  <si>
    <t>SDA1</t>
  </si>
  <si>
    <t>DAC0</t>
  </si>
  <si>
    <t>DAC1</t>
  </si>
  <si>
    <t>NET0</t>
  </si>
  <si>
    <t>BGA289</t>
  </si>
  <si>
    <t>BGA196</t>
  </si>
  <si>
    <t>BGA172</t>
  </si>
  <si>
    <t>BGA144</t>
  </si>
  <si>
    <t>BGA121</t>
  </si>
  <si>
    <t>BGA116</t>
  </si>
  <si>
    <t>PA00</t>
  </si>
  <si>
    <t>B00</t>
  </si>
  <si>
    <t>GPIO.A.0.A[00]</t>
  </si>
  <si>
    <t>TMR1.A.0.COMP[0]</t>
  </si>
  <si>
    <t>URT0.A.0.TXD</t>
  </si>
  <si>
    <t>CAN0.A.0.TXD</t>
  </si>
  <si>
    <t>PWM0.A.0.P[0]</t>
  </si>
  <si>
    <t>TRGM.A.0.P[00]</t>
  </si>
  <si>
    <t>SYSCTL.B.0.CLK_OBS[0]</t>
  </si>
  <si>
    <t>U2</t>
  </si>
  <si>
    <t>G2</t>
  </si>
  <si>
    <t>R9</t>
  </si>
  <si>
    <t>M4</t>
  </si>
  <si>
    <t>D2</t>
  </si>
  <si>
    <t>L4</t>
  </si>
  <si>
    <t>PA01</t>
  </si>
  <si>
    <t>GPIO.A.0.A[01]</t>
  </si>
  <si>
    <t>TMR1.A.0.CAPT[0]</t>
  </si>
  <si>
    <t>URT0.A.1.RXD</t>
  </si>
  <si>
    <t>CAN0.A.0.RXD</t>
  </si>
  <si>
    <t>PWM0.A.0.P[1]</t>
  </si>
  <si>
    <t>TRGM.A.0.P[01]</t>
  </si>
  <si>
    <t>SYSCTL.B.0.CLK_OBS[2]</t>
  </si>
  <si>
    <t>PA09</t>
  </si>
  <si>
    <t>T1</t>
  </si>
  <si>
    <t>G3</t>
  </si>
  <si>
    <t>R8</t>
  </si>
  <si>
    <t>N4</t>
  </si>
  <si>
    <t>PA02</t>
  </si>
  <si>
    <t>GPIO.A.0.A[02]</t>
  </si>
  <si>
    <t>TMR1.A.0.COMP[1]</t>
  </si>
  <si>
    <t>URT0.A.0.DE</t>
  </si>
  <si>
    <t>URT0.A.0.RTS</t>
  </si>
  <si>
    <t>I2C2.A.1.SCL</t>
  </si>
  <si>
    <t>CAN0.A.0.STBY</t>
  </si>
  <si>
    <t>PWM0.A.0.P[2]</t>
  </si>
  <si>
    <t>TRGM.A.0.P[02]</t>
  </si>
  <si>
    <t>SYSCTL.B.0.CLK_OBS[1]</t>
  </si>
  <si>
    <t>PA10</t>
  </si>
  <si>
    <t>T2</t>
  </si>
  <si>
    <t>G4</t>
  </si>
  <si>
    <t>T8</t>
  </si>
  <si>
    <t>M3</t>
  </si>
  <si>
    <t>F3</t>
  </si>
  <si>
    <t>PA03</t>
  </si>
  <si>
    <t>GPIO.A.0.A[03]</t>
  </si>
  <si>
    <t>TMR1.A.0.CAPT[1]</t>
  </si>
  <si>
    <t>URT0.A.0.CTS</t>
  </si>
  <si>
    <t>I2C2.A.1.SDA</t>
  </si>
  <si>
    <t>SPI0.A.1.CS[3]</t>
  </si>
  <si>
    <t>CAN1.A.0.STBY</t>
  </si>
  <si>
    <t>PWM0.A.0.P[3]</t>
  </si>
  <si>
    <t>TRGM.A.0.P[03]</t>
  </si>
  <si>
    <t>SYSCTL.B.0.CLK_OBS[3]</t>
  </si>
  <si>
    <t>PA11</t>
  </si>
  <si>
    <t>R1</t>
  </si>
  <si>
    <t>G5</t>
  </si>
  <si>
    <t>T7</t>
  </si>
  <si>
    <t>L3</t>
  </si>
  <si>
    <t>E3</t>
  </si>
  <si>
    <t>PA04</t>
  </si>
  <si>
    <t>GPIO.A.0.A[04]</t>
  </si>
  <si>
    <t>URT1.A.0.CTS</t>
  </si>
  <si>
    <t>SPI1.A.0.SCLK</t>
  </si>
  <si>
    <t>CAN1.A.0.RXD</t>
  </si>
  <si>
    <t>PWM0.A.0.P[4]</t>
  </si>
  <si>
    <t>TRGM.A.0.P[04]</t>
  </si>
  <si>
    <t>JTAG.A.1.TDO</t>
  </si>
  <si>
    <t>JTAG</t>
  </si>
  <si>
    <t>R2</t>
  </si>
  <si>
    <t>F2</t>
  </si>
  <si>
    <t>T6</t>
  </si>
  <si>
    <t>M2</t>
  </si>
  <si>
    <t>PA05</t>
  </si>
  <si>
    <t>GPIO.A.0.A[05]</t>
  </si>
  <si>
    <t>TMR1.A.0.COMP[2]</t>
  </si>
  <si>
    <t>URT1.A.0.DE</t>
  </si>
  <si>
    <t>URT1.A.0.RTS</t>
  </si>
  <si>
    <t>SPI1.A.1.CS[0]</t>
  </si>
  <si>
    <t>CAN1.A.0.TXD</t>
  </si>
  <si>
    <t>PWM0.A.0.P[5]</t>
  </si>
  <si>
    <t>TRGM.A.0.P[05]</t>
  </si>
  <si>
    <t>JTAG.A.1.TDI</t>
  </si>
  <si>
    <t>P1</t>
  </si>
  <si>
    <t>R6</t>
  </si>
  <si>
    <t>L2</t>
  </si>
  <si>
    <t>E2</t>
  </si>
  <si>
    <t>N2</t>
  </si>
  <si>
    <t>PA06</t>
  </si>
  <si>
    <t>GPIO.A.0.A[06]</t>
  </si>
  <si>
    <t>TMR0.A.0.CAPT[0]</t>
  </si>
  <si>
    <t>URT1.A.1.RXD</t>
  </si>
  <si>
    <t>I2C3.A.1.SDA</t>
  </si>
  <si>
    <t>SPI1.A.1.MISO</t>
  </si>
  <si>
    <t>PWM0.A.0.P[6]</t>
  </si>
  <si>
    <t>TRGM.A.0.P[06]</t>
  </si>
  <si>
    <t>JTAG.A.0.TCK</t>
  </si>
  <si>
    <t>P2</t>
  </si>
  <si>
    <t>F4</t>
  </si>
  <si>
    <t>R5</t>
  </si>
  <si>
    <t>L1</t>
  </si>
  <si>
    <t>D3</t>
  </si>
  <si>
    <t>M1</t>
  </si>
  <si>
    <t>PA07</t>
  </si>
  <si>
    <t>GPIO.A.0.A[07]</t>
  </si>
  <si>
    <t>TMR0.A.0.COMP[0]</t>
  </si>
  <si>
    <t>URT1.A.0.TXD</t>
  </si>
  <si>
    <t>I2C3.A.1.SCL</t>
  </si>
  <si>
    <t>SPI1.A.1.MOSI</t>
  </si>
  <si>
    <t>PDM0.CD.0.D[3]</t>
  </si>
  <si>
    <t>PWM0.A.0.P[7]</t>
  </si>
  <si>
    <t>TRGM.A.0.P[07]</t>
  </si>
  <si>
    <t>JTAG.A.1.TMS</t>
  </si>
  <si>
    <t>P3</t>
  </si>
  <si>
    <t>F5</t>
  </si>
  <si>
    <t>R4</t>
  </si>
  <si>
    <t>K1</t>
  </si>
  <si>
    <t>D4</t>
  </si>
  <si>
    <t>PA08</t>
  </si>
  <si>
    <t>GPIOT</t>
  </si>
  <si>
    <t>GPIO.A.0.A[08]</t>
  </si>
  <si>
    <t>TMR0.A.0.COMP[1]</t>
  </si>
  <si>
    <t>URT2.A.0.TXD</t>
  </si>
  <si>
    <t>I2C0.A.1.SCL</t>
  </si>
  <si>
    <t>SPI0.A.1.CS[2]</t>
  </si>
  <si>
    <t>CAN2.A.0.TXD</t>
  </si>
  <si>
    <t>PWM1.A.0.P[0]</t>
  </si>
  <si>
    <t>TRGM.A.0.P[08]</t>
  </si>
  <si>
    <t>RDC0.A.0.PWM_N</t>
  </si>
  <si>
    <t>QEO2.A.0.B</t>
  </si>
  <si>
    <t>SEI2.A.0.TX</t>
  </si>
  <si>
    <t>SDM1.C.0.DAT[0]</t>
  </si>
  <si>
    <t>JTAG.A.1.TRST</t>
  </si>
  <si>
    <t>U3</t>
  </si>
  <si>
    <t>G1</t>
  </si>
  <si>
    <t>P8</t>
  </si>
  <si>
    <t>K2</t>
  </si>
  <si>
    <t>F1</t>
  </si>
  <si>
    <t>L6</t>
  </si>
  <si>
    <t>GPIO.A.0.A[09]</t>
  </si>
  <si>
    <t>TMR0.A.0.CAPT[1]</t>
  </si>
  <si>
    <t>URT2.A.1.RXD</t>
  </si>
  <si>
    <t>I2C0.A.1.SDA</t>
  </si>
  <si>
    <t>SPI0.A.1.CS[1]</t>
  </si>
  <si>
    <t>CAN2.A.0.RXD</t>
  </si>
  <si>
    <t>PWM1.A.0.P[1]</t>
  </si>
  <si>
    <t>TRGM.A.0.P[09]</t>
  </si>
  <si>
    <t>RDC0.A.0.PWM_P</t>
  </si>
  <si>
    <t>QEO2.A.0.A</t>
  </si>
  <si>
    <t>SEI2.A.0.RX</t>
  </si>
  <si>
    <t>SDM1.C.0.CLK[0]</t>
  </si>
  <si>
    <t>ETH0.D.0.EVTO[2]</t>
  </si>
  <si>
    <t>U4</t>
  </si>
  <si>
    <t>P5</t>
  </si>
  <si>
    <t>J2</t>
  </si>
  <si>
    <t>E1</t>
  </si>
  <si>
    <t>L5</t>
  </si>
  <si>
    <t>GPIO.A.0.A[10]</t>
  </si>
  <si>
    <t>TMR0.A.0.COMP[2]</t>
  </si>
  <si>
    <t>URT2.A.0.DE</t>
  </si>
  <si>
    <t>URT2.A.0.RTS</t>
  </si>
  <si>
    <t>SPI0.A.0.SCLK</t>
  </si>
  <si>
    <t>CAN2.A.0.STBY</t>
  </si>
  <si>
    <t>PWM1.A.0.P[2]</t>
  </si>
  <si>
    <t>TRGM.A.0.P[10]</t>
  </si>
  <si>
    <t>QEI3.A.0.F</t>
  </si>
  <si>
    <t>QEO2.A.0.Z</t>
  </si>
  <si>
    <t>SEI2.A.0.DE</t>
  </si>
  <si>
    <t>SDM1.C.0.DAT[1]</t>
  </si>
  <si>
    <t>CPU1.B.0.NMI</t>
  </si>
  <si>
    <t>ETH0.D.0.EVTI[0]</t>
  </si>
  <si>
    <t>T3</t>
  </si>
  <si>
    <t>GPIO.A.0.A[11]</t>
  </si>
  <si>
    <t>URT2.A.0.CTS</t>
  </si>
  <si>
    <t>SPI0.A.1.CS[0]</t>
  </si>
  <si>
    <t>PDM0.D.0.CLK</t>
  </si>
  <si>
    <t>PWM1.A.0.P[3]</t>
  </si>
  <si>
    <t>TRGM.A.0.P[11]</t>
  </si>
  <si>
    <t>QEI3.A.0.H1</t>
  </si>
  <si>
    <t>RDC1.A.0.PWM_N</t>
  </si>
  <si>
    <t>SEI2.A.0.CK</t>
  </si>
  <si>
    <t>SDM1.C.0.CLK[1]</t>
  </si>
  <si>
    <t>CPU0.B.0.NMI</t>
  </si>
  <si>
    <t>ETH0.D.0.EVTO[0]</t>
  </si>
  <si>
    <t>T4</t>
  </si>
  <si>
    <t>PA12</t>
  </si>
  <si>
    <t>GPIO.A.0.A[12]</t>
  </si>
  <si>
    <t>URT3.A.0.CTS</t>
  </si>
  <si>
    <t>I2C1.A.1.SDA</t>
  </si>
  <si>
    <t>SPI0.A.1.MISO</t>
  </si>
  <si>
    <t>PDM0.CD.0.D[0]</t>
  </si>
  <si>
    <t>PWM1.A.0.P[4]</t>
  </si>
  <si>
    <t>TRGM.A.0.P[12]</t>
  </si>
  <si>
    <t>QEI3.A.0.H0</t>
  </si>
  <si>
    <t>RDC1.A.0.PWM_P</t>
  </si>
  <si>
    <t>SEI3.A.0.CK</t>
  </si>
  <si>
    <t>SDM1.C.0.DAT[2]</t>
  </si>
  <si>
    <t>CPU1.C.0.NMI</t>
  </si>
  <si>
    <t>ETH0.D.0.EVTI[1]</t>
  </si>
  <si>
    <t>R3</t>
  </si>
  <si>
    <t>PA13</t>
  </si>
  <si>
    <t>GPIO.A.0.A[13]</t>
  </si>
  <si>
    <t>TMR1.A.0.COMP[3]</t>
  </si>
  <si>
    <t>URT3.A.0.DE</t>
  </si>
  <si>
    <t>URT3.A.0.RTS</t>
  </si>
  <si>
    <t>I2C1.A.1.SCL</t>
  </si>
  <si>
    <t>SPI0.A.1.MOSI</t>
  </si>
  <si>
    <t>CAN3.A.0.STBY</t>
  </si>
  <si>
    <t>PDM0.C.0.CLK</t>
  </si>
  <si>
    <t>PWM1.A.0.P[5]</t>
  </si>
  <si>
    <t>TRGM.A.0.P[13]</t>
  </si>
  <si>
    <t>QEI3.A.0.Z</t>
  </si>
  <si>
    <t>QEO3.A.0.Z</t>
  </si>
  <si>
    <t>SEI3.A.0.DE</t>
  </si>
  <si>
    <t>SDM1.C.0.CLK[2]</t>
  </si>
  <si>
    <t>CPU0.C.0.NMI</t>
  </si>
  <si>
    <t>ETH0.D.0.EVTO[1]</t>
  </si>
  <si>
    <t>PA14</t>
  </si>
  <si>
    <t>GPIO.A.0.A[14]</t>
  </si>
  <si>
    <t>URT3.A.1.RXD</t>
  </si>
  <si>
    <t>SPI0.A.1.DAT2</t>
  </si>
  <si>
    <t>CAN3.A.0.RXD</t>
  </si>
  <si>
    <t>PDM0.CD.0.D[2]</t>
  </si>
  <si>
    <t>PWM1.A.0.P[6]</t>
  </si>
  <si>
    <t>TRGM.A.0.P[14]</t>
  </si>
  <si>
    <t>QEI3.A.0.B</t>
  </si>
  <si>
    <t>QEO3.A.0.B</t>
  </si>
  <si>
    <t>SEI3.A.0.RX</t>
  </si>
  <si>
    <t>SDM1.C.0.CLK[3]</t>
  </si>
  <si>
    <t>ETH0.D.0.EVTO[3]</t>
  </si>
  <si>
    <t>PA15</t>
  </si>
  <si>
    <t>GPIO.A.0.A[15]</t>
  </si>
  <si>
    <t>TMR0.A.0.COMP[3]</t>
  </si>
  <si>
    <t>URT3.A.0.TXD</t>
  </si>
  <si>
    <t>SPI0.A.1.DAT3</t>
  </si>
  <si>
    <t>CAN3.A.0.TXD</t>
  </si>
  <si>
    <t>PDM0.CD.0.D[1]</t>
  </si>
  <si>
    <t>PWM1.A.0.P[7]</t>
  </si>
  <si>
    <t>TRGM.A.0.P[15]</t>
  </si>
  <si>
    <t>QEI3.A.0.A</t>
  </si>
  <si>
    <t>QEO3.A.0.A</t>
  </si>
  <si>
    <t>SEI3.A.0.TX</t>
  </si>
  <si>
    <t>SDM1.C.0.DAT[3]</t>
  </si>
  <si>
    <t>PA16</t>
  </si>
  <si>
    <t>B01</t>
  </si>
  <si>
    <t>GPIO.A.0.A[16]</t>
  </si>
  <si>
    <t>TMR3.A.0.COMP[0]</t>
  </si>
  <si>
    <t>URT4.A.0.TXD</t>
  </si>
  <si>
    <t>CAN4.A.0.TXD</t>
  </si>
  <si>
    <t>PWM2.A.0.P[0]</t>
  </si>
  <si>
    <t>TRGM.A.0.P[16]</t>
  </si>
  <si>
    <t>QEO1.A.0.A</t>
  </si>
  <si>
    <t>SEI1.A.0.TX</t>
  </si>
  <si>
    <t>SDM0.C.0.DAT[3]</t>
  </si>
  <si>
    <t>PA24</t>
  </si>
  <si>
    <t>ECAT.A.P0_RXN</t>
  </si>
  <si>
    <t>N1</t>
  </si>
  <si>
    <t>PA17</t>
  </si>
  <si>
    <t>GPIO.A.0.A[17]</t>
  </si>
  <si>
    <t>TMR3.A.0.CAPT[0]</t>
  </si>
  <si>
    <t>URT4.A.1.RXD</t>
  </si>
  <si>
    <t>CAN4.A.0.RXD</t>
  </si>
  <si>
    <t>PWM2.A.0.P[1]</t>
  </si>
  <si>
    <t>TRGM.A.0.P[17]</t>
  </si>
  <si>
    <t>QEO1.A.0.B</t>
  </si>
  <si>
    <t>SEI1.A.0.RX</t>
  </si>
  <si>
    <t>SDM0.C.0.CLK[3]</t>
  </si>
  <si>
    <t>PA25</t>
  </si>
  <si>
    <t>ECAT.A.P0_RXP</t>
  </si>
  <si>
    <t>PA18</t>
  </si>
  <si>
    <t>GPIO.A.0.A[18]</t>
  </si>
  <si>
    <t>TMR3.A.0.COMP[1]</t>
  </si>
  <si>
    <t>URT4.A.0.DE</t>
  </si>
  <si>
    <t>URT4.A.0.RTS</t>
  </si>
  <si>
    <t>I2C6.A.1.SCL</t>
  </si>
  <si>
    <t>CAN4.A.0.STBY</t>
  </si>
  <si>
    <t>PWM2.A.0.P[2]</t>
  </si>
  <si>
    <t>TRGM.A.0.P[18]</t>
  </si>
  <si>
    <t>QEI2.A.0.H1</t>
  </si>
  <si>
    <t>QEO1.A.0.Z</t>
  </si>
  <si>
    <t>SEI1.A.0.DE</t>
  </si>
  <si>
    <t>SDM0.C.0.DAT[2]</t>
  </si>
  <si>
    <t>PA26</t>
  </si>
  <si>
    <t>ECAT.A.P0_TXN</t>
  </si>
  <si>
    <t>PA19</t>
  </si>
  <si>
    <t>GPIO.A.0.A[19]</t>
  </si>
  <si>
    <t>TMR3.A.0.CAPT[1]</t>
  </si>
  <si>
    <t>URT4.A.0.CTS</t>
  </si>
  <si>
    <t>I2C6.A.1.SDA</t>
  </si>
  <si>
    <t>SPI3.A.1.CS[3]</t>
  </si>
  <si>
    <t>CAN5.A.0.STBY</t>
  </si>
  <si>
    <t>PWM2.A.0.P[3]</t>
  </si>
  <si>
    <t>TRGM.A.0.P[19]</t>
  </si>
  <si>
    <t>QEI2.A.0.F</t>
  </si>
  <si>
    <t>SEI1.A.0.CK</t>
  </si>
  <si>
    <t>SDM0.C.0.CLK[2]</t>
  </si>
  <si>
    <t>PA27</t>
  </si>
  <si>
    <t>ECAT.A.P0_TXP</t>
  </si>
  <si>
    <t>PA20</t>
  </si>
  <si>
    <t>GPIO.A.0.A[20]</t>
  </si>
  <si>
    <t>URT5.A.0.CTS</t>
  </si>
  <si>
    <t>SPI2.A.0.SCLK</t>
  </si>
  <si>
    <t>CAN5.A.0.RXD</t>
  </si>
  <si>
    <t>PWM2.A.0.P[4]</t>
  </si>
  <si>
    <t>TRGM.A.0.P[20]</t>
  </si>
  <si>
    <t>QEI2.A.0.H0</t>
  </si>
  <si>
    <t>SEI0.A.0.CK</t>
  </si>
  <si>
    <t>SDM0.C.0.DAT[1]</t>
  </si>
  <si>
    <t>PA28</t>
  </si>
  <si>
    <t>ECAT.A.P1_RXN</t>
  </si>
  <si>
    <t>J1</t>
  </si>
  <si>
    <t>PA21</t>
  </si>
  <si>
    <t>GPIO.A.0.A[21]</t>
  </si>
  <si>
    <t>TMR3.A.0.COMP[2]</t>
  </si>
  <si>
    <t>URT5.A.0.DE</t>
  </si>
  <si>
    <t>URT5.A.0.RTS</t>
  </si>
  <si>
    <t>SPI2.A.1.CS[0]</t>
  </si>
  <si>
    <t>CAN5.A.0.TXD</t>
  </si>
  <si>
    <t>PWM2.A.0.P[5]</t>
  </si>
  <si>
    <t>TRGM.A.0.P[21]</t>
  </si>
  <si>
    <t>QEI2.A.0.Z</t>
  </si>
  <si>
    <t>QEO0.A.0.Z</t>
  </si>
  <si>
    <t>SEI0.A.0.DE</t>
  </si>
  <si>
    <t>SDM0.C.0.CLK[1]</t>
  </si>
  <si>
    <t>PA29</t>
  </si>
  <si>
    <t>ECAT.A.P1_RXP</t>
  </si>
  <si>
    <t>PA22</t>
  </si>
  <si>
    <t>GPIO.A.0.A[22]</t>
  </si>
  <si>
    <t>TMR2.A.0.CAPT[0]</t>
  </si>
  <si>
    <t>URT5.A.1.RXD</t>
  </si>
  <si>
    <t>I2C7.A.1.SDA</t>
  </si>
  <si>
    <t>SPI2.A.1.MISO</t>
  </si>
  <si>
    <t>PWM2.A.0.P[6]</t>
  </si>
  <si>
    <t>TRGM.A.0.P[22]</t>
  </si>
  <si>
    <t>ETH0.C.0.TXER</t>
  </si>
  <si>
    <t>QEI2.A.0.B</t>
  </si>
  <si>
    <t>QEO0.A.0.B</t>
  </si>
  <si>
    <t>SEI0.A.0.RX</t>
  </si>
  <si>
    <t>SDM0.C.0.DAT[0]</t>
  </si>
  <si>
    <t>PA30</t>
  </si>
  <si>
    <t>ECAT.A.P1_TXN</t>
  </si>
  <si>
    <t>H1</t>
  </si>
  <si>
    <t>PA23</t>
  </si>
  <si>
    <t>GPIO.A.0.A[23]</t>
  </si>
  <si>
    <t>TMR2.A.0.COMP[0]</t>
  </si>
  <si>
    <t>URT5.A.0.TXD</t>
  </si>
  <si>
    <t>I2C7.A.1.SCL</t>
  </si>
  <si>
    <t>SPI2.A.1.MOSI</t>
  </si>
  <si>
    <t>PWM2.A.0.P[7]</t>
  </si>
  <si>
    <t>TRGM.A.0.P[23]</t>
  </si>
  <si>
    <t>ETH0.C.0.RXER</t>
  </si>
  <si>
    <t>QEI2.A.0.A</t>
  </si>
  <si>
    <t>QEO0.A.0.A</t>
  </si>
  <si>
    <t>SEI0.A.0.TX</t>
  </si>
  <si>
    <t>SDM0.C.0.CLK[0]</t>
  </si>
  <si>
    <t>PA31</t>
  </si>
  <si>
    <t>ECAT.A.P1_TXP</t>
  </si>
  <si>
    <t>H2</t>
  </si>
  <si>
    <t>GPIO.A.0.A[24]</t>
  </si>
  <si>
    <t>TMR2.A.0.COMP[1]</t>
  </si>
  <si>
    <t>URT6.A.0.TXD</t>
  </si>
  <si>
    <t>I2C4.A.1.SCL</t>
  </si>
  <si>
    <t>SPI3.A.1.CS[2]</t>
  </si>
  <si>
    <t>CAN6.A.0.TXD</t>
  </si>
  <si>
    <t>PWM3.A.0.P[0]</t>
  </si>
  <si>
    <t>TRGM.A.0.P[24]</t>
  </si>
  <si>
    <t>QEO2.B.0.A</t>
  </si>
  <si>
    <t>SEI2.B.0.TX</t>
  </si>
  <si>
    <t>ECAT.A.P0_RB</t>
  </si>
  <si>
    <t>N3</t>
  </si>
  <si>
    <t>K3</t>
  </si>
  <si>
    <t>GPIO.A.0.A[25]</t>
  </si>
  <si>
    <t>TMR2.A.0.CAPT[1]</t>
  </si>
  <si>
    <t>URT6.A.1.RXD</t>
  </si>
  <si>
    <t>I2C4.A.1.SDA</t>
  </si>
  <si>
    <t>SPI3.A.1.CS[1]</t>
  </si>
  <si>
    <t>CAN6.A.0.RXD</t>
  </si>
  <si>
    <t>PWM3.A.0.P[1]</t>
  </si>
  <si>
    <t>TRGM.A.0.P[25]</t>
  </si>
  <si>
    <t>QEO2.B.0.B</t>
  </si>
  <si>
    <t>SEI2.B.0.RX</t>
  </si>
  <si>
    <t>ECAT.A.P0_LED1</t>
  </si>
  <si>
    <t>K4</t>
  </si>
  <si>
    <t>GPIO.A.0.A[26]</t>
  </si>
  <si>
    <t>TMR2.A.0.COMP[2]</t>
  </si>
  <si>
    <t>URT6.A.0.DE</t>
  </si>
  <si>
    <t>URT6.A.0.RTS</t>
  </si>
  <si>
    <t>SPI3.A.0.SCLK</t>
  </si>
  <si>
    <t>CAN6.A.0.STBY</t>
  </si>
  <si>
    <t>PWM3.A.0.P[2]</t>
  </si>
  <si>
    <t>TRGM.A.0.P[26]</t>
  </si>
  <si>
    <t>QEI1.A.0.H1</t>
  </si>
  <si>
    <t>QEO2.B.0.Z</t>
  </si>
  <si>
    <t>SEI2.B.0.DE</t>
  </si>
  <si>
    <t>ECAT.A.P0_LED0</t>
  </si>
  <si>
    <t>N5</t>
  </si>
  <si>
    <t>J3</t>
  </si>
  <si>
    <t>GPIO.A.0.A[27]</t>
  </si>
  <si>
    <t>URT6.A.0.CTS</t>
  </si>
  <si>
    <t>SPI3.A.1.CS[0]</t>
  </si>
  <si>
    <t>PWM3.A.0.P[3]</t>
  </si>
  <si>
    <t>TRGM.A.0.P[27]</t>
  </si>
  <si>
    <t>QEI1.A.0.F</t>
  </si>
  <si>
    <t>SEI2.B.0.CK</t>
  </si>
  <si>
    <t>ECAT.A.P1_RB</t>
  </si>
  <si>
    <t>J4</t>
  </si>
  <si>
    <t>GPIO.A.0.A[28]</t>
  </si>
  <si>
    <t>URT7.A.0.CTS</t>
  </si>
  <si>
    <t>I2C5.A.1.SDA</t>
  </si>
  <si>
    <t>SPI3.A.1.MISO</t>
  </si>
  <si>
    <t>PWM3.A.0.P[4]</t>
  </si>
  <si>
    <t>TRGM.A.0.P[28]</t>
  </si>
  <si>
    <t>QEI1.A.0.H0</t>
  </si>
  <si>
    <t>SEI3.B.0.CK</t>
  </si>
  <si>
    <t>ECAT.A.P1_LED1</t>
  </si>
  <si>
    <t>J5</t>
  </si>
  <si>
    <t>GPIO.A.0.A[29]</t>
  </si>
  <si>
    <t>TMR3.A.0.COMP[3]</t>
  </si>
  <si>
    <t>URT7.A.0.DE</t>
  </si>
  <si>
    <t>URT7.A.0.RTS</t>
  </si>
  <si>
    <t>I2C5.A.1.SCL</t>
  </si>
  <si>
    <t>SPI3.A.1.MOSI</t>
  </si>
  <si>
    <t>CAN7.A.0.STBY</t>
  </si>
  <si>
    <t>PWM3.A.0.P[5]</t>
  </si>
  <si>
    <t>TRGM.A.0.P[29]</t>
  </si>
  <si>
    <t>QEI1.A.0.Z</t>
  </si>
  <si>
    <t>QEO3.B.0.Z</t>
  </si>
  <si>
    <t>SEI3.B.0.DE</t>
  </si>
  <si>
    <t>ECAT.A.P1_LED0</t>
  </si>
  <si>
    <t>M5</t>
  </si>
  <si>
    <t>H3</t>
  </si>
  <si>
    <t>GPIO.A.0.A[30]</t>
  </si>
  <si>
    <t>URT7.A.1.RXD</t>
  </si>
  <si>
    <t>SPI3.A.1.DAT2</t>
  </si>
  <si>
    <t>CAN7.A.0.RXD</t>
  </si>
  <si>
    <t>PWM3.A.0.P[6]</t>
  </si>
  <si>
    <t>TRGM.A.0.P[30]</t>
  </si>
  <si>
    <t>ETH0.C.0.MDIO</t>
  </si>
  <si>
    <t>QEI1.A.0.A</t>
  </si>
  <si>
    <t>QEO3.B.0.B</t>
  </si>
  <si>
    <t>SEI3.B.0.RX</t>
  </si>
  <si>
    <t>ECAT.A.MDC</t>
  </si>
  <si>
    <t>H4</t>
  </si>
  <si>
    <t>GPIO.A.0.A[31]</t>
  </si>
  <si>
    <t>TMR2.A.0.COMP[3]</t>
  </si>
  <si>
    <t>URT7.A.0.TXD</t>
  </si>
  <si>
    <t>SPI3.A.1.DAT3</t>
  </si>
  <si>
    <t>CAN7.A.0.TXD</t>
  </si>
  <si>
    <t>PWM3.A.0.P[7]</t>
  </si>
  <si>
    <t>TRGM.A.0.P[31]</t>
  </si>
  <si>
    <t>ETH0.C.0.MDC</t>
  </si>
  <si>
    <t>QEI1.A.0.B</t>
  </si>
  <si>
    <t>QEO3.B.0.A</t>
  </si>
  <si>
    <t>SEI3.B.0.TX</t>
  </si>
  <si>
    <t>ECAT.A.MDIO</t>
  </si>
  <si>
    <t>H5</t>
  </si>
  <si>
    <t>PB00</t>
  </si>
  <si>
    <t>B02</t>
  </si>
  <si>
    <t>GPIO.A.0.B[00]</t>
  </si>
  <si>
    <t>TMR5.A.0.COMP[0]</t>
  </si>
  <si>
    <t>URT8.A.0.TXD</t>
  </si>
  <si>
    <t>CAN0.B.0.TXD</t>
  </si>
  <si>
    <t>I2S0.AB.0.TXD[0]</t>
  </si>
  <si>
    <t>PDM0.A.0.CLK</t>
  </si>
  <si>
    <t>PWM0.B.0.P[0]</t>
  </si>
  <si>
    <t>TRGM.B.0.P[00]</t>
  </si>
  <si>
    <t>ETH0.C.0.RXDV</t>
  </si>
  <si>
    <t>QEO1.B.0.A</t>
  </si>
  <si>
    <t>SEI1.B.0.TX</t>
  </si>
  <si>
    <t>TEST_IN[00]</t>
  </si>
  <si>
    <t>PB06</t>
  </si>
  <si>
    <t>D1</t>
  </si>
  <si>
    <t>PB01</t>
  </si>
  <si>
    <t>GPIO.A.0.B[01]</t>
  </si>
  <si>
    <t>TMR5.A.0.CAPT[0]</t>
  </si>
  <si>
    <t>URT8.A.1.RXD</t>
  </si>
  <si>
    <t>CAN0.B.0.RXD</t>
  </si>
  <si>
    <t>I2S0.AB.0.BCLK</t>
  </si>
  <si>
    <t>PDM0.AB.0.D[2]</t>
  </si>
  <si>
    <t>PWM0.B.0.P[1]</t>
  </si>
  <si>
    <t>TRGM.B.0.P[01]</t>
  </si>
  <si>
    <t>ETH0.C.0.RXD[0]</t>
  </si>
  <si>
    <t>QEO1.B.0.B</t>
  </si>
  <si>
    <t>SEI1.B.0.RX</t>
  </si>
  <si>
    <t>SDM1.B.0.DAT[3]</t>
  </si>
  <si>
    <t>TEST_IN[01]</t>
  </si>
  <si>
    <t>PB07</t>
  </si>
  <si>
    <t>C3</t>
  </si>
  <si>
    <t>PB02</t>
  </si>
  <si>
    <t>GPIO.A.0.B[02]</t>
  </si>
  <si>
    <t>TMR5.A.0.COMP[1]</t>
  </si>
  <si>
    <t>URT8.A.0.DE</t>
  </si>
  <si>
    <t>URT8.A.0.RTS</t>
  </si>
  <si>
    <t>I2C2.B.1.SCL</t>
  </si>
  <si>
    <t>CAN0.B.0.STBY</t>
  </si>
  <si>
    <t>I2S0.AB.0.TXD[3]</t>
  </si>
  <si>
    <t>PDM0.B.0.CLK</t>
  </si>
  <si>
    <t>PWM0.B.0.P[2]</t>
  </si>
  <si>
    <t>TRGM.B.0.P[02]</t>
  </si>
  <si>
    <t>ETH0.C.0.RXD[1]</t>
  </si>
  <si>
    <t>QEI0.B.0.H1</t>
  </si>
  <si>
    <t>QEO1.B.0.Z</t>
  </si>
  <si>
    <t>SEI1.B.0.DE</t>
  </si>
  <si>
    <t>SDM1.B.0.CLK[3]</t>
  </si>
  <si>
    <t>TEST_IN[02]</t>
  </si>
  <si>
    <t>PB08</t>
  </si>
  <si>
    <t>K5</t>
  </si>
  <si>
    <t>C1</t>
  </si>
  <si>
    <t>PB03</t>
  </si>
  <si>
    <t>GPIO.A.0.B[03]</t>
  </si>
  <si>
    <t>TMR5.A.0.CAPT[1]</t>
  </si>
  <si>
    <t>URT8.A.0.CTS</t>
  </si>
  <si>
    <t>I2C2.B.1.SDA</t>
  </si>
  <si>
    <t>SPI4.A.1.CS[3]</t>
  </si>
  <si>
    <t>CAN1.B.0.STBY</t>
  </si>
  <si>
    <t>I2S0.AB.0.TXD[1]</t>
  </si>
  <si>
    <t>PDM0.AB.0.D[0]</t>
  </si>
  <si>
    <t>PWM0.B.0.P[3]</t>
  </si>
  <si>
    <t>TRGM.B.0.P[03]</t>
  </si>
  <si>
    <t>ETH0.C.0.RXD[2]</t>
  </si>
  <si>
    <t>QEI0.B.0.F</t>
  </si>
  <si>
    <t>SEI1.B.0.CK</t>
  </si>
  <si>
    <t>TEST_IN[03]</t>
  </si>
  <si>
    <t>PB09</t>
  </si>
  <si>
    <t>C2</t>
  </si>
  <si>
    <t>PB04</t>
  </si>
  <si>
    <t>GPIO.A.0.B[04]</t>
  </si>
  <si>
    <t>URT9.A.0.CTS</t>
  </si>
  <si>
    <t>SPI5.A.0.SCLK</t>
  </si>
  <si>
    <t>CAN1.B.0.RXD</t>
  </si>
  <si>
    <t>I2S0.B.0.MCLK</t>
  </si>
  <si>
    <t>PDM0.AB.0.D[1]</t>
  </si>
  <si>
    <t>PWM0.B.0.P[4]</t>
  </si>
  <si>
    <t>TRGM.B.0.P[04]</t>
  </si>
  <si>
    <t>ETH0.C.0.RXD[3]</t>
  </si>
  <si>
    <t>QEI0.B.0.H0</t>
  </si>
  <si>
    <t>SEI0.B.0.CK</t>
  </si>
  <si>
    <t>SDM1.B.0.DAT[2]</t>
  </si>
  <si>
    <t>TEST_IN[04]</t>
  </si>
  <si>
    <t>PB10</t>
  </si>
  <si>
    <t>B1</t>
  </si>
  <si>
    <t>PB05</t>
  </si>
  <si>
    <t>GPIO.A.0.B[05]</t>
  </si>
  <si>
    <t>TMR5.A.0.COMP[2]</t>
  </si>
  <si>
    <t>URT9.A.0.DE</t>
  </si>
  <si>
    <t>URT9.A.0.RTS</t>
  </si>
  <si>
    <t>SPI5.A.1.CS[0]</t>
  </si>
  <si>
    <t>CAN1.B.0.TXD</t>
  </si>
  <si>
    <t>I2S0.AB.0.TXD[2]</t>
  </si>
  <si>
    <t>PDM0.AB.0.D[3]</t>
  </si>
  <si>
    <t>PWM0.B.0.P[5]</t>
  </si>
  <si>
    <t>TRGM.B.0.P[05]</t>
  </si>
  <si>
    <t>ETH0.C.0.RXCK</t>
  </si>
  <si>
    <t>QEI0.B.0.Z</t>
  </si>
  <si>
    <t>QEO0.B.0.Z</t>
  </si>
  <si>
    <t>SEI0.B.0.DE</t>
  </si>
  <si>
    <t>SDM1.B.0.CLK[2]</t>
  </si>
  <si>
    <t>TEST_IN[05]</t>
  </si>
  <si>
    <t>PB11</t>
  </si>
  <si>
    <t>A2</t>
  </si>
  <si>
    <t>GPIO.A.0.B[06]</t>
  </si>
  <si>
    <t>TMR4.A.0.CAPT[0]</t>
  </si>
  <si>
    <t>URT9.A.1.RXD</t>
  </si>
  <si>
    <t>I2C3.B.1.SDA</t>
  </si>
  <si>
    <t>SPI5.A.1.MISO</t>
  </si>
  <si>
    <t>I2S0.AB.0.RXD[1]</t>
  </si>
  <si>
    <t>PWM0.B.0.P[6]</t>
  </si>
  <si>
    <t>TRGM.B.0.P[06]</t>
  </si>
  <si>
    <t>ETH0.C.0.TXCK</t>
  </si>
  <si>
    <t>QEI0.B.0.B</t>
  </si>
  <si>
    <t>QEO0.B.0.B</t>
  </si>
  <si>
    <t>SEI0.B.0.RX</t>
  </si>
  <si>
    <t>SDM1.B.0.DAT[1]</t>
  </si>
  <si>
    <t>TEST_IN[06]</t>
  </si>
  <si>
    <t>PV15</t>
  </si>
  <si>
    <t>B3</t>
  </si>
  <si>
    <t>GPIO.A.0.B[07]</t>
  </si>
  <si>
    <t>TMR4.A.0.COMP[0]</t>
  </si>
  <si>
    <t>URT9.A.0.TXD</t>
  </si>
  <si>
    <t>I2C3.B.1.SCL</t>
  </si>
  <si>
    <t>SPI5.A.1.MOSI</t>
  </si>
  <si>
    <t>I2S0.AB.0.RXD[3]</t>
  </si>
  <si>
    <t>PWM0.B.0.P[7]</t>
  </si>
  <si>
    <t>TRGM.B.0.P[07]</t>
  </si>
  <si>
    <t>ETH0.C.0.TXD[0]</t>
  </si>
  <si>
    <t>QEI0.B.0.A</t>
  </si>
  <si>
    <t>QEO0.B.0.A</t>
  </si>
  <si>
    <t>SEI0.B.0.TX</t>
  </si>
  <si>
    <t>SDM1.B.0.CLK[1]</t>
  </si>
  <si>
    <t>TEST_IN[07]</t>
  </si>
  <si>
    <t>E4</t>
  </si>
  <si>
    <t>B4</t>
  </si>
  <si>
    <t>GPIO.A.0.B[08]</t>
  </si>
  <si>
    <t>TMR4.A.0.COMP[1]</t>
  </si>
  <si>
    <t>URTA.A.0.TXD</t>
  </si>
  <si>
    <t>I2C0.B.1.SCL</t>
  </si>
  <si>
    <t>SPI4.A.1.CS[2]</t>
  </si>
  <si>
    <t>CAN2.B.0.TXD</t>
  </si>
  <si>
    <t>I2S0.AB.0.RXD[0]</t>
  </si>
  <si>
    <t>PWM1.B.0.P[0]</t>
  </si>
  <si>
    <t>TRGM.B.0.P[08]</t>
  </si>
  <si>
    <t>ETH0.C.0.TXD[1]</t>
  </si>
  <si>
    <t>QEO2.C.0.B</t>
  </si>
  <si>
    <t>SEI2.C.0.TX</t>
  </si>
  <si>
    <t>SDM1.B.0.DAT[0]</t>
  </si>
  <si>
    <t>TEST_IN[08]</t>
  </si>
  <si>
    <t>C4</t>
  </si>
  <si>
    <t>GPIO.A.0.B[09]</t>
  </si>
  <si>
    <t>TMR4.A.0.CAPT[1]</t>
  </si>
  <si>
    <t>URTA.A.1.RXD</t>
  </si>
  <si>
    <t>I2C0.B.1.SDA</t>
  </si>
  <si>
    <t>SPI4.A.1.CS[1]</t>
  </si>
  <si>
    <t>CAN2.B.0.RXD</t>
  </si>
  <si>
    <t>I2S0.AB.0.RXD[2]</t>
  </si>
  <si>
    <t>PWM1.B.0.P[1]</t>
  </si>
  <si>
    <t>TRGM.B.0.P[09]</t>
  </si>
  <si>
    <t>ETH0.C.0.TXD[2]</t>
  </si>
  <si>
    <t>QEO2.C.0.A</t>
  </si>
  <si>
    <t>SEI2.C.0.RX</t>
  </si>
  <si>
    <t>SDM1.B.0.CLK[0]</t>
  </si>
  <si>
    <t>TEST_IN[09]</t>
  </si>
  <si>
    <t>B2</t>
  </si>
  <si>
    <t>GPIO.A.0.B[10]</t>
  </si>
  <si>
    <t>TMR4.A.0.COMP[2]</t>
  </si>
  <si>
    <t>URTA.A.0.DE</t>
  </si>
  <si>
    <t>URTA.A.0.RTS</t>
  </si>
  <si>
    <t>SPI4.A.0.SCLK</t>
  </si>
  <si>
    <t>CAN2.B.0.STBY</t>
  </si>
  <si>
    <t>I2S0.AB.0.FCLK</t>
  </si>
  <si>
    <t>PWM1.B.0.P[2]</t>
  </si>
  <si>
    <t>TRGM.B.0.P[10]</t>
  </si>
  <si>
    <t>ETH0.C.0.TXD[3]</t>
  </si>
  <si>
    <t>QEI3.B.0.F</t>
  </si>
  <si>
    <t>QEO2.C.0.Z</t>
  </si>
  <si>
    <t>SEI2.C.0.DE</t>
  </si>
  <si>
    <t>TEST_IN[10]</t>
  </si>
  <si>
    <t>A3</t>
  </si>
  <si>
    <t>GPIO.A.0.B[11]</t>
  </si>
  <si>
    <t>URTA.A.0.CTS</t>
  </si>
  <si>
    <t>SPI4.A.1.CS[0]</t>
  </si>
  <si>
    <t>I2S0.A.0.MCLK</t>
  </si>
  <si>
    <t>PWM1.B.0.P[3]</t>
  </si>
  <si>
    <t>TRGM.B.0.P[11]</t>
  </si>
  <si>
    <t>ETH0.C.0.TXEN</t>
  </si>
  <si>
    <t>QEI3.B.0.H1</t>
  </si>
  <si>
    <t>SEI2.C.0.CK</t>
  </si>
  <si>
    <t>TEST_IN[11]</t>
  </si>
  <si>
    <t>A4</t>
  </si>
  <si>
    <t>PB12</t>
  </si>
  <si>
    <t>GPIO.A.0.B[12]</t>
  </si>
  <si>
    <t>URTB.A.0.CTS</t>
  </si>
  <si>
    <t>I2C1.B.1.SDA</t>
  </si>
  <si>
    <t>SPI4.A.1.MISO</t>
  </si>
  <si>
    <t>PWM1.B.0.P[4]</t>
  </si>
  <si>
    <t>TRGM.B.0.P[12]</t>
  </si>
  <si>
    <t>QEI3.B.0.H0</t>
  </si>
  <si>
    <t>SEI3.C.0.CK</t>
  </si>
  <si>
    <t>SDM0.B.0.DAT[3]</t>
  </si>
  <si>
    <t>PB18</t>
  </si>
  <si>
    <t>PB13</t>
  </si>
  <si>
    <t>GPIO.A.0.B[13]</t>
  </si>
  <si>
    <t>TMR5.A.0.COMP[3]</t>
  </si>
  <si>
    <t>URTB.A.0.DE</t>
  </si>
  <si>
    <t>URTB.A.0.RTS</t>
  </si>
  <si>
    <t>I2C1.B.1.SCL</t>
  </si>
  <si>
    <t>SPI4.A.1.MOSI</t>
  </si>
  <si>
    <t>CAN3.B.0.STBY</t>
  </si>
  <si>
    <t>PWM1.B.0.P[5]</t>
  </si>
  <si>
    <t>TRGM.B.0.P[13]</t>
  </si>
  <si>
    <t>QEI3.B.0.Z</t>
  </si>
  <si>
    <t>QEO3.C.0.Z</t>
  </si>
  <si>
    <t>SEI3.C.0.DE</t>
  </si>
  <si>
    <t>SDM0.B.0.CLK[3]</t>
  </si>
  <si>
    <t>PB19</t>
  </si>
  <si>
    <t>PB14</t>
  </si>
  <si>
    <t>GPIO.A.0.B[14]</t>
  </si>
  <si>
    <t>URTB.A.1.RXD</t>
  </si>
  <si>
    <t>SPI4.A.1.DAT2</t>
  </si>
  <si>
    <t>CAN3.B.0.RXD</t>
  </si>
  <si>
    <t>PWM1.B.0.P[6]</t>
  </si>
  <si>
    <t>TRGM.B.0.P[14]</t>
  </si>
  <si>
    <t>QEI3.B.0.B</t>
  </si>
  <si>
    <t>QEO3.C.0.B</t>
  </si>
  <si>
    <t>SEI3.C.0.RX</t>
  </si>
  <si>
    <t>SDM0.B.0.DAT[2]</t>
  </si>
  <si>
    <t>PB20</t>
  </si>
  <si>
    <t>PB15</t>
  </si>
  <si>
    <t>GPIO.A.0.B[15]</t>
  </si>
  <si>
    <t>TMR4.A.0.COMP[3]</t>
  </si>
  <si>
    <t>URTB.A.0.TXD</t>
  </si>
  <si>
    <t>SPI4.A.1.DAT3</t>
  </si>
  <si>
    <t>CAN3.B.0.TXD</t>
  </si>
  <si>
    <t>PWM1.B.0.P[7]</t>
  </si>
  <si>
    <t>TRGM.B.0.P[15]</t>
  </si>
  <si>
    <t>QEI3.B.0.A</t>
  </si>
  <si>
    <t>QEO3.C.0.A</t>
  </si>
  <si>
    <t>SEI3.C.0.TX</t>
  </si>
  <si>
    <t>SDM0.B.0.CLK[2]</t>
  </si>
  <si>
    <t>PB21</t>
  </si>
  <si>
    <t>PB16</t>
  </si>
  <si>
    <t>B03</t>
  </si>
  <si>
    <t>GPIO.A.0.B[16]</t>
  </si>
  <si>
    <t>TMR7.A.0.COMP[0]</t>
  </si>
  <si>
    <t>URTC.A.0.TXD</t>
  </si>
  <si>
    <t>CAN4.B.0.TXD</t>
  </si>
  <si>
    <t>PWM2.B.0.P[0]</t>
  </si>
  <si>
    <t>TRGM.B.0.P[16]</t>
  </si>
  <si>
    <t>RDC0.B.0.PWM_N</t>
  </si>
  <si>
    <t>QEO1.C.0.A</t>
  </si>
  <si>
    <t>SEI1.C.0.TX</t>
  </si>
  <si>
    <t>PB22</t>
  </si>
  <si>
    <t>PB17</t>
  </si>
  <si>
    <t>GPIO.A.0.B[17]</t>
  </si>
  <si>
    <t>TMR7.A.0.CAPT[0]</t>
  </si>
  <si>
    <t>URTC.A.1.RXD</t>
  </si>
  <si>
    <t>CAN4.B.0.RXD</t>
  </si>
  <si>
    <t>PWM2.B.0.P[1]</t>
  </si>
  <si>
    <t>TRGM.B.0.P[17]</t>
  </si>
  <si>
    <t>RDC0.B.0.PWM_P</t>
  </si>
  <si>
    <t>QEO1.C.0.B</t>
  </si>
  <si>
    <t>SEI1.C.0.RX</t>
  </si>
  <si>
    <t>SDM0.B.0.DAT[1]</t>
  </si>
  <si>
    <t>PB23</t>
  </si>
  <si>
    <t>GPIO.A.0.B[18]</t>
  </si>
  <si>
    <t>TMR7.A.0.COMP[1]</t>
  </si>
  <si>
    <t>URTC.A.0.DE</t>
  </si>
  <si>
    <t>URTC.A.0.RTS</t>
  </si>
  <si>
    <t>I2C6.B.1.SCL</t>
  </si>
  <si>
    <t>CAN4.B.0.STBY</t>
  </si>
  <si>
    <t>PWM2.B.0.P[2]</t>
  </si>
  <si>
    <t>TRGM.B.0.P[18]</t>
  </si>
  <si>
    <t>QEI2.B.0.H1</t>
  </si>
  <si>
    <t>QEO1.C.0.Z</t>
  </si>
  <si>
    <t>SEI1.C.0.DE</t>
  </si>
  <si>
    <t>SDM0.B.0.CLK[1]</t>
  </si>
  <si>
    <t>GPIO.A.0.B[19]</t>
  </si>
  <si>
    <t>TMR7.A.0.CAPT[1]</t>
  </si>
  <si>
    <t>URTC.A.0.CTS</t>
  </si>
  <si>
    <t>I2C6.B.1.SDA</t>
  </si>
  <si>
    <t>SPI7.A.1.CS[3]</t>
  </si>
  <si>
    <t>CAN5.B.0.STBY</t>
  </si>
  <si>
    <t>PWM2.B.0.P[3]</t>
  </si>
  <si>
    <t>TRGM.B.0.P[19]</t>
  </si>
  <si>
    <t>QEI2.B.0.F</t>
  </si>
  <si>
    <t>RDC1.B.0.PWM_N</t>
  </si>
  <si>
    <t>SEI1.C.0.CK</t>
  </si>
  <si>
    <t>SDM0.B.0.DAT[0]</t>
  </si>
  <si>
    <t>GPIO.A.0.B[20]</t>
  </si>
  <si>
    <t>URTD.A.0.CTS</t>
  </si>
  <si>
    <t>SPI6.A.0.SCLK</t>
  </si>
  <si>
    <t>CAN5.B.0.RXD</t>
  </si>
  <si>
    <t>DAO.C.0.RP</t>
  </si>
  <si>
    <t>PWM2.B.0.P[4]</t>
  </si>
  <si>
    <t>TRGM.B.0.P[20]</t>
  </si>
  <si>
    <t>QEI2.B.0.H0</t>
  </si>
  <si>
    <t>RDC1.B.0.PWM_P</t>
  </si>
  <si>
    <t>SEI0.C.0.CK</t>
  </si>
  <si>
    <t>SDM0.B.0.CLK[0]</t>
  </si>
  <si>
    <t>GPIO.A.0.B[21]</t>
  </si>
  <si>
    <t>TMR7.A.0.COMP[2]</t>
  </si>
  <si>
    <t>URTD.A.0.DE</t>
  </si>
  <si>
    <t>URTD.A.0.RTS</t>
  </si>
  <si>
    <t>SPI6.A.1.CS[0]</t>
  </si>
  <si>
    <t>CAN5.B.0.TXD</t>
  </si>
  <si>
    <t>DAO.C.0.LN</t>
  </si>
  <si>
    <t>PWM2.B.0.P[5]</t>
  </si>
  <si>
    <t>TRGM.B.0.P[21]</t>
  </si>
  <si>
    <t>QEI2.B.0.Z</t>
  </si>
  <si>
    <t>QEO0.C.0.Z</t>
  </si>
  <si>
    <t>SEI0.C.0.DE</t>
  </si>
  <si>
    <t>GPIO.A.0.B[22]</t>
  </si>
  <si>
    <t>TMR6.A.0.CAPT[0]</t>
  </si>
  <si>
    <t>URTD.A.1.RXD</t>
  </si>
  <si>
    <t>I2C7.B.1.SDA</t>
  </si>
  <si>
    <t>SPI6.A.1.MISO</t>
  </si>
  <si>
    <t>DAO.C.0.RN</t>
  </si>
  <si>
    <t>PWM2.B.0.P[6]</t>
  </si>
  <si>
    <t>TRGM.B.0.P[22]</t>
  </si>
  <si>
    <t>QEI2.B.0.B</t>
  </si>
  <si>
    <t>QEO0.C.0.B</t>
  </si>
  <si>
    <t>SEI0.C.0.RX</t>
  </si>
  <si>
    <t>GPIO.A.0.B[23]</t>
  </si>
  <si>
    <t>TMR6.A.0.COMP[0]</t>
  </si>
  <si>
    <t>URTD.A.0.TXD</t>
  </si>
  <si>
    <t>I2C7.B.1.SCL</t>
  </si>
  <si>
    <t>SPI6.A.1.MOSI</t>
  </si>
  <si>
    <t>DAO.C.0.LP</t>
  </si>
  <si>
    <t>PWM2.B.0.P[7]</t>
  </si>
  <si>
    <t>TRGM.B.0.P[23]</t>
  </si>
  <si>
    <t>QEI2.B.0.A</t>
  </si>
  <si>
    <t>QEO0.C.0.A</t>
  </si>
  <si>
    <t>SEI0.C.0.TX</t>
  </si>
  <si>
    <t>PB24</t>
  </si>
  <si>
    <t>GPIO.A.0.B[24]</t>
  </si>
  <si>
    <t>TMR6.A.0.COMP[1]</t>
  </si>
  <si>
    <t>URTE.A.0.TXD</t>
  </si>
  <si>
    <t>I2C4.B.1.SCL</t>
  </si>
  <si>
    <t>SPI7.A.1.CS[2]</t>
  </si>
  <si>
    <t>CAN6.B.0.TXD</t>
  </si>
  <si>
    <t>XPI0.AB.0.CA_CS1</t>
  </si>
  <si>
    <t>PWM3.B.0.P[0]</t>
  </si>
  <si>
    <t>TRGM.B.0.P[24]</t>
  </si>
  <si>
    <t>RDC0.C.0.PWM_N</t>
  </si>
  <si>
    <t>SDM0.E.0.CLK[3]</t>
  </si>
  <si>
    <t>ETH0.A.0.EVTI[0]</t>
  </si>
  <si>
    <t>PB28</t>
  </si>
  <si>
    <t>PB25</t>
  </si>
  <si>
    <t>GPIO.A.0.B[25]</t>
  </si>
  <si>
    <t>TMR6.A.0.CAPT[1]</t>
  </si>
  <si>
    <t>URTE.A.1.RXD</t>
  </si>
  <si>
    <t>I2C4.B.1.SDA</t>
  </si>
  <si>
    <t>SPI7.A.1.CS[1]</t>
  </si>
  <si>
    <t>CAN6.B.0.RXD</t>
  </si>
  <si>
    <t>XPI0.A.1.CA_DQS</t>
  </si>
  <si>
    <t>PWM3.B.0.P[1]</t>
  </si>
  <si>
    <t>TRGM.B.0.P[25]</t>
  </si>
  <si>
    <t>RDC0.C.0.PWM_P</t>
  </si>
  <si>
    <t>SDM0.E.0.DAT[3]</t>
  </si>
  <si>
    <t>ETH0.A.0.EVTO[0]</t>
  </si>
  <si>
    <t>PB29</t>
  </si>
  <si>
    <t>PB26</t>
  </si>
  <si>
    <t>GPIO.A.0.B[26]</t>
  </si>
  <si>
    <t>TMR6.A.0.COMP[2]</t>
  </si>
  <si>
    <t>URTE.A.0.DE</t>
  </si>
  <si>
    <t>URTE.A.0.RTS</t>
  </si>
  <si>
    <t>SPI7.A.0.SCLK</t>
  </si>
  <si>
    <t>CAN6.B.0.STBY</t>
  </si>
  <si>
    <t>XPI0.AB.0.CA_D[2]</t>
  </si>
  <si>
    <t>PWM3.B.0.P[2]</t>
  </si>
  <si>
    <t>TRGM.B.0.P[26]</t>
  </si>
  <si>
    <t>QEI1.B.0.H1</t>
  </si>
  <si>
    <t>RDC1.C.0.PWM_N</t>
  </si>
  <si>
    <t>SDM0.E.0.CLK[2]</t>
  </si>
  <si>
    <t>ETH0.A.0.EVTI[1]</t>
  </si>
  <si>
    <t>PB30</t>
  </si>
  <si>
    <t>PB27</t>
  </si>
  <si>
    <t>GPIO.A.0.B[27]</t>
  </si>
  <si>
    <t>URTE.A.0.CTS</t>
  </si>
  <si>
    <t>SPI7.A.1.CS[0]</t>
  </si>
  <si>
    <t>XPI0.AB.0.CA_D[0]</t>
  </si>
  <si>
    <t>PWM3.B.0.P[3]</t>
  </si>
  <si>
    <t>TRGM.B.0.P[27]</t>
  </si>
  <si>
    <t>QEI1.B.0.F</t>
  </si>
  <si>
    <t>RDC1.C.0.PWM_P</t>
  </si>
  <si>
    <t>SDM0.E.0.DAT[2]</t>
  </si>
  <si>
    <t>ETH0.A.0.EVTO[2]</t>
  </si>
  <si>
    <t>PB31</t>
  </si>
  <si>
    <t>GPIO.A.0.B[28]</t>
  </si>
  <si>
    <t>URTF.A.0.CTS</t>
  </si>
  <si>
    <t>I2C5.B.1.SDA</t>
  </si>
  <si>
    <t>SPI7.A.1.MISO</t>
  </si>
  <si>
    <t>XPI0.AB.0.CA_D[1]</t>
  </si>
  <si>
    <t>PWM3.B.0.P[4]</t>
  </si>
  <si>
    <t>TRGM.B.0.P[28]</t>
  </si>
  <si>
    <t>QEI1.B.0.H0</t>
  </si>
  <si>
    <t>RDC0.D.0.PWM_N</t>
  </si>
  <si>
    <t>SDM0.E.0.CLK[1]</t>
  </si>
  <si>
    <t>GPIO.A.0.B[29]</t>
  </si>
  <si>
    <t>TMR7.A.0.COMP[3]</t>
  </si>
  <si>
    <t>URTF.A.0.DE</t>
  </si>
  <si>
    <t>URTF.A.0.RTS</t>
  </si>
  <si>
    <t>I2C5.B.1.SCL</t>
  </si>
  <si>
    <t>SPI7.A.1.MOSI</t>
  </si>
  <si>
    <t>CAN7.B.0.STBY</t>
  </si>
  <si>
    <t>XPI0.AB.0.CA_SCLK</t>
  </si>
  <si>
    <t>PWM3.B.0.P[5]</t>
  </si>
  <si>
    <t>TRGM.B.0.P[29]</t>
  </si>
  <si>
    <t>QEI1.B.0.Z</t>
  </si>
  <si>
    <t>RDC0.D.0.PWM_P</t>
  </si>
  <si>
    <t>SDM0.E.0.DAT[1]</t>
  </si>
  <si>
    <t>ETH0.A.0.EVTO[1]</t>
  </si>
  <si>
    <t>GPIO.A.0.B[30]</t>
  </si>
  <si>
    <t>URTF.A.1.RXD</t>
  </si>
  <si>
    <t>SPI7.A.1.DAT2</t>
  </si>
  <si>
    <t>CAN7.B.0.RXD</t>
  </si>
  <si>
    <t>XPI0.AB.0.CA_CS0</t>
  </si>
  <si>
    <t>PWM3.B.0.P[6]</t>
  </si>
  <si>
    <t>TRGM.B.0.P[30]</t>
  </si>
  <si>
    <t>QEI1.B.0.A</t>
  </si>
  <si>
    <t>RDC1.D.0.PWM_N</t>
  </si>
  <si>
    <t>SDM0.E.0.CLK[0]</t>
  </si>
  <si>
    <t>A5</t>
  </si>
  <si>
    <t>GPIO.A.0.B[31]</t>
  </si>
  <si>
    <t>TMR6.A.0.COMP[3]</t>
  </si>
  <si>
    <t>URTF.A.0.TXD</t>
  </si>
  <si>
    <t>SPI7.A.1.DAT3</t>
  </si>
  <si>
    <t>CAN7.B.0.TXD</t>
  </si>
  <si>
    <t>XPI0.AB.0.CA_D[3]</t>
  </si>
  <si>
    <t>PWM3.B.0.P[7]</t>
  </si>
  <si>
    <t>TRGM.B.0.P[31]</t>
  </si>
  <si>
    <t>QEI1.B.0.B</t>
  </si>
  <si>
    <t>RDC1.D.0.PWM_P</t>
  </si>
  <si>
    <t>SDM0.E.0.DAT[0]</t>
  </si>
  <si>
    <t>ETH0.A.0.EVTO[3]</t>
  </si>
  <si>
    <t>PC00</t>
  </si>
  <si>
    <t>B04</t>
  </si>
  <si>
    <t>GPIO.A.0.C[00]</t>
  </si>
  <si>
    <t>TMR1.B.0.COMP[0]</t>
  </si>
  <si>
    <t>URT0.B.0.TXD</t>
  </si>
  <si>
    <t>CAN0.C.0.TXD</t>
  </si>
  <si>
    <t>DRAM.AB.0.DQ[24]</t>
  </si>
  <si>
    <t>PPI0.A.0.DQ[24]</t>
  </si>
  <si>
    <t>XPI0.AB.0.CB_CS0</t>
  </si>
  <si>
    <t>PWM0.C.0.P[0]</t>
  </si>
  <si>
    <t>TRGM.C.0.P[00]</t>
  </si>
  <si>
    <t>PC09</t>
  </si>
  <si>
    <t>B5</t>
  </si>
  <si>
    <t>PC01</t>
  </si>
  <si>
    <t>GPIO.A.0.C[01]</t>
  </si>
  <si>
    <t>TMR1.B.0.CAPT[0]</t>
  </si>
  <si>
    <t>URT0.B.1.RXD</t>
  </si>
  <si>
    <t>CAN0.C.0.RXD</t>
  </si>
  <si>
    <t>DRAM.AB.0.DQ[25]</t>
  </si>
  <si>
    <t>PPI0.A.0.DQ[25]</t>
  </si>
  <si>
    <t>XPI0.AB.0.CB_D[1]</t>
  </si>
  <si>
    <t>PWM0.C.0.P[1]</t>
  </si>
  <si>
    <t>TRGM.C.0.P[01]</t>
  </si>
  <si>
    <t>PC10</t>
  </si>
  <si>
    <t>A6</t>
  </si>
  <si>
    <t>PC02</t>
  </si>
  <si>
    <t>GPIO.A.0.C[02]</t>
  </si>
  <si>
    <t>TMR1.B.0.COMP[1]</t>
  </si>
  <si>
    <t>URT0.B.0.DE</t>
  </si>
  <si>
    <t>URT0.B.0.RTS</t>
  </si>
  <si>
    <t>I2C2.C.1.SCL</t>
  </si>
  <si>
    <t>CAN0.C.0.STBY</t>
  </si>
  <si>
    <t>DRAM.AB.0.DQ[22]</t>
  </si>
  <si>
    <t>PPI0.A.0.DQ[22]</t>
  </si>
  <si>
    <t>XPI0.AB.0.CB_D[2]</t>
  </si>
  <si>
    <t>PWM0.C.0.P[2]</t>
  </si>
  <si>
    <t>TRGM.C.0.P[02]</t>
  </si>
  <si>
    <t>QEI0.C.0.H1</t>
  </si>
  <si>
    <t>SDM1.E.0.CLK[0]</t>
  </si>
  <si>
    <t>PC11</t>
  </si>
  <si>
    <t>B6</t>
  </si>
  <si>
    <t>PC03</t>
  </si>
  <si>
    <t>GPIO.A.0.C[03]</t>
  </si>
  <si>
    <t>TMR1.B.0.CAPT[1]</t>
  </si>
  <si>
    <t>URT0.B.0.CTS</t>
  </si>
  <si>
    <t>I2C2.C.1.SDA</t>
  </si>
  <si>
    <t>SPI1.B.1.CS[3]</t>
  </si>
  <si>
    <t>CAN1.C.0.STBY</t>
  </si>
  <si>
    <t>DRAM.AB.0.DQ[26]</t>
  </si>
  <si>
    <t>PPI0.A.0.DQ[26]</t>
  </si>
  <si>
    <t>XPI0.AB.0.CB_D[3]</t>
  </si>
  <si>
    <t>PWM0.C.0.P[3]</t>
  </si>
  <si>
    <t>TRGM.C.0.P[03]</t>
  </si>
  <si>
    <t>QEI0.C.0.F</t>
  </si>
  <si>
    <t>PC12</t>
  </si>
  <si>
    <t>A7</t>
  </si>
  <si>
    <t>PC04</t>
  </si>
  <si>
    <t>GPIO.A.0.C[04]</t>
  </si>
  <si>
    <t>URT1.B.0.CTS</t>
  </si>
  <si>
    <t>SPI0.B.0.SCLK</t>
  </si>
  <si>
    <t>CAN1.C.0.RXD</t>
  </si>
  <si>
    <t>DRAM.AB.0.DQ[27]</t>
  </si>
  <si>
    <t>PPI0.A.0.DQ[27]</t>
  </si>
  <si>
    <t>XPI0.AB.0.CB_SCLK</t>
  </si>
  <si>
    <t>PWM0.C.0.P[4]</t>
  </si>
  <si>
    <t>TRGM.C.0.P[04]</t>
  </si>
  <si>
    <t>QEI0.C.0.H0</t>
  </si>
  <si>
    <t>SEI0.D.0.CK</t>
  </si>
  <si>
    <t>PC13</t>
  </si>
  <si>
    <t>B7</t>
  </si>
  <si>
    <t>PC05</t>
  </si>
  <si>
    <t>GPIO.A.0.C[05]</t>
  </si>
  <si>
    <t>TMR1.B.0.COMP[2]</t>
  </si>
  <si>
    <t>URT1.B.0.DE</t>
  </si>
  <si>
    <t>URT1.B.0.RTS</t>
  </si>
  <si>
    <t>SPI0.B.1.CS[0]</t>
  </si>
  <si>
    <t>CAN1.C.0.TXD</t>
  </si>
  <si>
    <t>DRAM.AB.0.DQ[28]</t>
  </si>
  <si>
    <t>PPI0.A.0.DQ[28]</t>
  </si>
  <si>
    <t>XPI0.DE.0.CA_CS0</t>
  </si>
  <si>
    <t>PWM0.C.0.P[5]</t>
  </si>
  <si>
    <t>TRGM.C.0.P[05]</t>
  </si>
  <si>
    <t>QEI0.C.0.Z</t>
  </si>
  <si>
    <t>QEO0.D.0.Z</t>
  </si>
  <si>
    <t>SEI0.D.0.DE</t>
  </si>
  <si>
    <t>PC14</t>
  </si>
  <si>
    <t>A8</t>
  </si>
  <si>
    <t>PC06</t>
  </si>
  <si>
    <t>GPIO.A.0.C[06]</t>
  </si>
  <si>
    <t>TMR0.B.0.CAPT[0]</t>
  </si>
  <si>
    <t>URT1.B.1.RXD</t>
  </si>
  <si>
    <t>I2C3.C.1.SDA</t>
  </si>
  <si>
    <t>SPI0.B.1.MISO</t>
  </si>
  <si>
    <t>DRAM.AB.0.DQ[29]</t>
  </si>
  <si>
    <t>PPI0.A.0.DQ[29]</t>
  </si>
  <si>
    <t>XPI0.DE.0.CA_D[1]</t>
  </si>
  <si>
    <t>PWM0.C.0.P[6]</t>
  </si>
  <si>
    <t>TRGM.C.0.P[06]</t>
  </si>
  <si>
    <t>QEI0.C.0.B</t>
  </si>
  <si>
    <t>QEO0.D.0.B</t>
  </si>
  <si>
    <t>SEI0.D.0.RX</t>
  </si>
  <si>
    <t>PC15</t>
  </si>
  <si>
    <t>B8</t>
  </si>
  <si>
    <t>PC07</t>
  </si>
  <si>
    <t>GPIO.A.0.C[07]</t>
  </si>
  <si>
    <t>TMR0.B.0.COMP[0]</t>
  </si>
  <si>
    <t>URT1.B.0.TXD</t>
  </si>
  <si>
    <t>I2C3.C.1.SCL</t>
  </si>
  <si>
    <t>SPI0.B.1.MOSI</t>
  </si>
  <si>
    <t>DRAM.AB.0.DQ[30]</t>
  </si>
  <si>
    <t>PPI0.A.0.DQ[30]</t>
  </si>
  <si>
    <t>XPI0.DE.0.CA_D[3]</t>
  </si>
  <si>
    <t>PWM0.C.0.P[7]</t>
  </si>
  <si>
    <t>TRGM.C.0.P[07]</t>
  </si>
  <si>
    <t>QEI0.C.0.A</t>
  </si>
  <si>
    <t>QEO0.D.0.A</t>
  </si>
  <si>
    <t>SEI0.D.0.TX</t>
  </si>
  <si>
    <t>PC16</t>
  </si>
  <si>
    <t>A9</t>
  </si>
  <si>
    <t>PC08</t>
  </si>
  <si>
    <t>GPIO.A.0.C[08]</t>
  </si>
  <si>
    <t>TMR0.B.0.COMP[1]</t>
  </si>
  <si>
    <t>URT2.B.0.TXD</t>
  </si>
  <si>
    <t>I2C0.C.1.SCL</t>
  </si>
  <si>
    <t>SPI1.B.1.CS[2]</t>
  </si>
  <si>
    <t>CAN2.C.0.TXD</t>
  </si>
  <si>
    <t>DRAM.AB.0.DQ[31]</t>
  </si>
  <si>
    <t>PPI0.A.0.DQ[31]</t>
  </si>
  <si>
    <t>XPI0.DE.0.CA_SCLK</t>
  </si>
  <si>
    <t>PWM1.C.0.P[0]</t>
  </si>
  <si>
    <t>TRGM.C.0.P[08]</t>
  </si>
  <si>
    <t>PC17</t>
  </si>
  <si>
    <t>B9</t>
  </si>
  <si>
    <t>GPIO.A.0.C[09]</t>
  </si>
  <si>
    <t>TMR0.B.0.CAPT[1]</t>
  </si>
  <si>
    <t>URT2.B.1.RXD</t>
  </si>
  <si>
    <t>I2C0.C.1.SDA</t>
  </si>
  <si>
    <t>SPI1.B.1.CS[1]</t>
  </si>
  <si>
    <t>CAN2.C.0.RXD</t>
  </si>
  <si>
    <t>DRAM.AB.0.DQ[23]</t>
  </si>
  <si>
    <t>PPI0.A.0.DQ[23]</t>
  </si>
  <si>
    <t>XPI0.AB.0.CB_CS1</t>
  </si>
  <si>
    <t>PWM1.C.0.P[1]</t>
  </si>
  <si>
    <t>TRGM.C.0.P[09]</t>
  </si>
  <si>
    <t>SDM1.E.0.DAT[0]</t>
  </si>
  <si>
    <t>PX07</t>
  </si>
  <si>
    <t>C5</t>
  </si>
  <si>
    <t>GPIO.A.0.C[10]</t>
  </si>
  <si>
    <t>TMR0.B.0.COMP[2]</t>
  </si>
  <si>
    <t>URT2.B.0.DE</t>
  </si>
  <si>
    <t>URT2.B.0.RTS</t>
  </si>
  <si>
    <t>SPI1.B.0.SCLK</t>
  </si>
  <si>
    <t>CAN2.C.0.STBY</t>
  </si>
  <si>
    <t>DRAM.AB.0.DQ[20]</t>
  </si>
  <si>
    <t>PPI0.A.0.DQ[20]</t>
  </si>
  <si>
    <t>XPI0.AB.0.CB_D[0]</t>
  </si>
  <si>
    <t>PWM1.C.0.P[2]</t>
  </si>
  <si>
    <t>TRGM.C.0.P[10]</t>
  </si>
  <si>
    <t>QEI3.C.0.F</t>
  </si>
  <si>
    <t>SDM1.E.0.CLK[1]</t>
  </si>
  <si>
    <t>D5</t>
  </si>
  <si>
    <t>GPIO.A.0.C[11]</t>
  </si>
  <si>
    <t>URT2.B.0.CTS</t>
  </si>
  <si>
    <t>SPI1.B.1.CS[0]</t>
  </si>
  <si>
    <t>DRAM.AB.0.DQ[21]</t>
  </si>
  <si>
    <t>PPI0.A.0.DQ[21]</t>
  </si>
  <si>
    <t>XPI0.A.1.CB_DQS</t>
  </si>
  <si>
    <t>PWM1.C.0.P[3]</t>
  </si>
  <si>
    <t>TRGM.C.0.P[11]</t>
  </si>
  <si>
    <t>QEI3.C.0.H1</t>
  </si>
  <si>
    <t>SDM1.E.0.DAT[1]</t>
  </si>
  <si>
    <t>C6</t>
  </si>
  <si>
    <t>GPIO.A.0.C[12]</t>
  </si>
  <si>
    <t>URT3.B.0.CTS</t>
  </si>
  <si>
    <t>I2C1.C.1.SDA</t>
  </si>
  <si>
    <t>SPI1.B.1.MISO</t>
  </si>
  <si>
    <t>DRAM.AB.0.DM[2]</t>
  </si>
  <si>
    <t>PPI0.A.0.DM[2]</t>
  </si>
  <si>
    <t>XPI0.DE.0.CA_D[2]</t>
  </si>
  <si>
    <t>PWM1.C.0.P[4]</t>
  </si>
  <si>
    <t>TRGM.C.0.P[12]</t>
  </si>
  <si>
    <t>QEI3.C.0.H0</t>
  </si>
  <si>
    <t>SEI2.D.0.CK</t>
  </si>
  <si>
    <t>D6</t>
  </si>
  <si>
    <t>GPIO.A.0.C[13]</t>
  </si>
  <si>
    <t>TMR1.B.0.COMP[3]</t>
  </si>
  <si>
    <t>URT3.B.0.DE</t>
  </si>
  <si>
    <t>URT3.B.0.RTS</t>
  </si>
  <si>
    <t>I2C1.C.1.SCL</t>
  </si>
  <si>
    <t>SPI1.B.1.MOSI</t>
  </si>
  <si>
    <t>CAN3.C.0.STBY</t>
  </si>
  <si>
    <t>DRAM.AB.0.DQ[18]</t>
  </si>
  <si>
    <t>PPI0.A.0.DQ[18]</t>
  </si>
  <si>
    <t>XPI0.DE.0.CA_CS1</t>
  </si>
  <si>
    <t>PWM1.C.0.P[5]</t>
  </si>
  <si>
    <t>TRGM.C.0.P[13]</t>
  </si>
  <si>
    <t>QEI3.C.0.Z</t>
  </si>
  <si>
    <t>QEO2.D.0.Z</t>
  </si>
  <si>
    <t>SEI2.D.0.DE</t>
  </si>
  <si>
    <t>SDM1.E.0.CLK[2]</t>
  </si>
  <si>
    <t>C7</t>
  </si>
  <si>
    <t>GPIO.A.0.C[14]</t>
  </si>
  <si>
    <t>URT3.B.1.RXD</t>
  </si>
  <si>
    <t>SPI1.B.1.DAT2</t>
  </si>
  <si>
    <t>CAN3.C.0.RXD</t>
  </si>
  <si>
    <t>DRAM.AB.0.DQ[19]</t>
  </si>
  <si>
    <t>PPI0.A.0.DQ[19]</t>
  </si>
  <si>
    <t>PWM1.C.0.P[6]</t>
  </si>
  <si>
    <t>TRGM.C.0.P[14]</t>
  </si>
  <si>
    <t>QEI3.C.0.B</t>
  </si>
  <si>
    <t>QEO2.D.0.B</t>
  </si>
  <si>
    <t>SEI2.D.0.RX</t>
  </si>
  <si>
    <t>SDM1.E.0.DAT[2]</t>
  </si>
  <si>
    <t>E5</t>
  </si>
  <si>
    <t>D7</t>
  </si>
  <si>
    <t>GPIO.A.0.C[15]</t>
  </si>
  <si>
    <t>TMR0.B.0.COMP[3]</t>
  </si>
  <si>
    <t>URT3.B.0.TXD</t>
  </si>
  <si>
    <t>SPI1.B.1.DAT3</t>
  </si>
  <si>
    <t>CAN3.C.0.TXD</t>
  </si>
  <si>
    <t>DRAM.AB.0.DM[3]</t>
  </si>
  <si>
    <t>PPI0.A.0.DM[3]</t>
  </si>
  <si>
    <t>XPI0.DE.0.CA_D[0]</t>
  </si>
  <si>
    <t>PWM1.C.0.P[7]</t>
  </si>
  <si>
    <t>TRGM.C.0.P[15]</t>
  </si>
  <si>
    <t>QEI3.C.0.A</t>
  </si>
  <si>
    <t>QEO2.D.0.A</t>
  </si>
  <si>
    <t>SEI2.D.0.TX</t>
  </si>
  <si>
    <t>C8</t>
  </si>
  <si>
    <t>B05</t>
  </si>
  <si>
    <t>GPIO.A.0.C[16]</t>
  </si>
  <si>
    <t>TMR3.B.0.COMP[0]</t>
  </si>
  <si>
    <t>URT4.B.0.TXD</t>
  </si>
  <si>
    <t>CAN4.C.0.TXD</t>
  </si>
  <si>
    <t>DRAM.AB.0.DQ[16]</t>
  </si>
  <si>
    <t>PPI0.A.0.DQ[16]</t>
  </si>
  <si>
    <t>XPI0.E.1.CA_DQS</t>
  </si>
  <si>
    <t>PWM2.C.0.P[0]</t>
  </si>
  <si>
    <t>TRGM.C.0.P[16]</t>
  </si>
  <si>
    <t>SDM1.E.0.CLK[3]</t>
  </si>
  <si>
    <t>D8</t>
  </si>
  <si>
    <t>GPIO.A.0.C[17]</t>
  </si>
  <si>
    <t>TMR3.B.0.CAPT[0]</t>
  </si>
  <si>
    <t>URT4.B.1.RXD</t>
  </si>
  <si>
    <t>CAN4.C.0.RXD</t>
  </si>
  <si>
    <t>DRAM.AB.0.DQ[17]</t>
  </si>
  <si>
    <t>PPI0.A.0.DQ[17]</t>
  </si>
  <si>
    <t>PWM2.C.0.P[1]</t>
  </si>
  <si>
    <t>TRGM.C.0.P[17]</t>
  </si>
  <si>
    <t>SDM1.E.0.DAT[3]</t>
  </si>
  <si>
    <t>E6</t>
  </si>
  <si>
    <t>C9</t>
  </si>
  <si>
    <t>PC18</t>
  </si>
  <si>
    <t>GPIO.A.0.C[18]</t>
  </si>
  <si>
    <t>TMR3.B.0.COMP[1]</t>
  </si>
  <si>
    <t>URT4.B.0.DE</t>
  </si>
  <si>
    <t>URT4.B.0.RTS</t>
  </si>
  <si>
    <t>I2C6.C.1.SCL</t>
  </si>
  <si>
    <t>CAN4.C.0.STBY</t>
  </si>
  <si>
    <t>DRAM.AB.0.A[04]</t>
  </si>
  <si>
    <t>PPI0.B.0.DQ[04]</t>
  </si>
  <si>
    <t>PWM2.C.0.P[2]</t>
  </si>
  <si>
    <t>TRGM.C.0.P[18]</t>
  </si>
  <si>
    <t>QEI2.C.0.H1</t>
  </si>
  <si>
    <t>XPI_SLV.A.0.RDY</t>
  </si>
  <si>
    <t>PD00</t>
  </si>
  <si>
    <t>A10</t>
  </si>
  <si>
    <t>PC19</t>
  </si>
  <si>
    <t>GPIO.A.0.C[19]</t>
  </si>
  <si>
    <t>TMR3.B.0.CAPT[1]</t>
  </si>
  <si>
    <t>URT4.B.0.CTS</t>
  </si>
  <si>
    <t>I2C6.C.1.SDA</t>
  </si>
  <si>
    <t>SPI2.B.1.CS[3]</t>
  </si>
  <si>
    <t>CAN5.C.0.STBY</t>
  </si>
  <si>
    <t>DRAM.AB.0.A[05]</t>
  </si>
  <si>
    <t>PPI0.B.0.DQ[05]</t>
  </si>
  <si>
    <t>PWM2.C.0.P[3]</t>
  </si>
  <si>
    <t>TRGM.C.0.P[19]</t>
  </si>
  <si>
    <t>QEI2.C.0.F</t>
  </si>
  <si>
    <t>XPI_SLV.A.0.ADQ[1]</t>
  </si>
  <si>
    <t>PD01</t>
  </si>
  <si>
    <t>B10</t>
  </si>
  <si>
    <t>PC20</t>
  </si>
  <si>
    <t>GPIO.A.0.C[20]</t>
  </si>
  <si>
    <t>URT5.B.0.CTS</t>
  </si>
  <si>
    <t>SPI3.B.0.SCLK</t>
  </si>
  <si>
    <t>CAN5.C.0.RXD</t>
  </si>
  <si>
    <t>DRAM.AB.0.A[06]</t>
  </si>
  <si>
    <t>PPI0.B.0.DQ[06]</t>
  </si>
  <si>
    <t>PWM2.C.0.P[4]</t>
  </si>
  <si>
    <t>TRGM.C.0.P[20]</t>
  </si>
  <si>
    <t>QEI2.C.0.H0</t>
  </si>
  <si>
    <t>SEI1.D.0.CK</t>
  </si>
  <si>
    <t>XPI_SLV.A.0.ADQ[0]</t>
  </si>
  <si>
    <t>PD02</t>
  </si>
  <si>
    <t>A11</t>
  </si>
  <si>
    <t>PC21</t>
  </si>
  <si>
    <t>GPIO.A.0.C[21]</t>
  </si>
  <si>
    <t>TMR3.B.0.COMP[2]</t>
  </si>
  <si>
    <t>URT5.B.0.DE</t>
  </si>
  <si>
    <t>URT5.B.0.RTS</t>
  </si>
  <si>
    <t>SPI3.B.1.CS[0]</t>
  </si>
  <si>
    <t>CAN5.C.0.TXD</t>
  </si>
  <si>
    <t>DRAM.AB.0.A[07]</t>
  </si>
  <si>
    <t>PPI0.B.0.DQ[07]</t>
  </si>
  <si>
    <t>PWM2.C.0.P[5]</t>
  </si>
  <si>
    <t>TRGM.C.0.P[21]</t>
  </si>
  <si>
    <t>QEI2.C.0.Z</t>
  </si>
  <si>
    <t>QEO1.D.0.Z</t>
  </si>
  <si>
    <t>SEI1.D.0.DE</t>
  </si>
  <si>
    <t>XPI_SLV.A.0.ADQ[3]</t>
  </si>
  <si>
    <t>PD03</t>
  </si>
  <si>
    <t>B11</t>
  </si>
  <si>
    <t>PC22</t>
  </si>
  <si>
    <t>GPIO.A.0.C[22]</t>
  </si>
  <si>
    <t>TMR2.B.0.CAPT[0]</t>
  </si>
  <si>
    <t>URT5.B.1.RXD</t>
  </si>
  <si>
    <t>I2C7.C.1.SDA</t>
  </si>
  <si>
    <t>SPI3.B.1.MISO</t>
  </si>
  <si>
    <t>DRAM.AB.0.SRDY</t>
  </si>
  <si>
    <t>PPI0.AB.0.CTR[2]</t>
  </si>
  <si>
    <t>PWM2.C.0.P[6]</t>
  </si>
  <si>
    <t>TRGM.C.0.P[22]</t>
  </si>
  <si>
    <t>QEI2.C.0.B</t>
  </si>
  <si>
    <t>QEO1.D.0.B</t>
  </si>
  <si>
    <t>SEI1.D.0.RX</t>
  </si>
  <si>
    <t>XPI_SLV.A.0.DQS</t>
  </si>
  <si>
    <t>PD04</t>
  </si>
  <si>
    <t>A12</t>
  </si>
  <si>
    <t>PC23</t>
  </si>
  <si>
    <t>GPIO.A.0.C[23]</t>
  </si>
  <si>
    <t>TMR2.B.0.COMP[0]</t>
  </si>
  <si>
    <t>URT5.B.0.TXD</t>
  </si>
  <si>
    <t>I2C7.C.1.SCL</t>
  </si>
  <si>
    <t>SPI3.B.1.MOSI</t>
  </si>
  <si>
    <t>DRAM.AB.0.A[08]</t>
  </si>
  <si>
    <t>PPI0.B.0.DQ[08]</t>
  </si>
  <si>
    <t>PWM2.C.0.P[7]</t>
  </si>
  <si>
    <t>TRGM.C.0.P[23]</t>
  </si>
  <si>
    <t>QEI2.C.0.A</t>
  </si>
  <si>
    <t>QEO1.D.0.A</t>
  </si>
  <si>
    <t>SEI1.D.0.TX</t>
  </si>
  <si>
    <t>PD05</t>
  </si>
  <si>
    <t>A13</t>
  </si>
  <si>
    <t>PC24</t>
  </si>
  <si>
    <t>GPIO.A.0.C[24]</t>
  </si>
  <si>
    <t>TMR2.B.0.COMP[1]</t>
  </si>
  <si>
    <t>URT6.B.0.TXD</t>
  </si>
  <si>
    <t>I2C4.C.1.SCL</t>
  </si>
  <si>
    <t>SPI2.B.1.CS[2]</t>
  </si>
  <si>
    <t>CAN6.C.0.TXD</t>
  </si>
  <si>
    <t>DRAM.AB.0.A[09]</t>
  </si>
  <si>
    <t>PPI0.B.0.DQ[09]</t>
  </si>
  <si>
    <t>PWM3.C.0.P[0]</t>
  </si>
  <si>
    <t>TRGM.C.0.P[24]</t>
  </si>
  <si>
    <t>PD06</t>
  </si>
  <si>
    <t>B14</t>
  </si>
  <si>
    <t>PC25</t>
  </si>
  <si>
    <t>GPIO.A.0.C[25]</t>
  </si>
  <si>
    <t>TMR2.B.0.CAPT[1]</t>
  </si>
  <si>
    <t>URT6.B.1.RXD</t>
  </si>
  <si>
    <t>I2C4.C.1.SDA</t>
  </si>
  <si>
    <t>SPI2.B.1.CS[1]</t>
  </si>
  <si>
    <t>CAN6.C.0.RXD</t>
  </si>
  <si>
    <t>DRAM.AB.0.A[11]</t>
  </si>
  <si>
    <t>PPI0.B.0.DQ[11]</t>
  </si>
  <si>
    <t>PWM3.C.0.P[1]</t>
  </si>
  <si>
    <t>TRGM.C.0.P[25]</t>
  </si>
  <si>
    <t>PD07</t>
  </si>
  <si>
    <t>C14</t>
  </si>
  <si>
    <t>PC26</t>
  </si>
  <si>
    <t>GPIO.A.0.C[26]</t>
  </si>
  <si>
    <t>TMR2.B.0.COMP[2]</t>
  </si>
  <si>
    <t>URT6.B.0.DE</t>
  </si>
  <si>
    <t>URT6.B.0.RTS</t>
  </si>
  <si>
    <t>SPI2.B.0.SCLK</t>
  </si>
  <si>
    <t>CAN6.C.0.STBY</t>
  </si>
  <si>
    <t>DRAM.AB.0.A[12]</t>
  </si>
  <si>
    <t>PPI0.B.0.DQ[12]</t>
  </si>
  <si>
    <t>PWM3.C.0.P[2]</t>
  </si>
  <si>
    <t>TRGM.C.0.P[26]</t>
  </si>
  <si>
    <t>QEI1.C.0.H1</t>
  </si>
  <si>
    <t>PD08</t>
  </si>
  <si>
    <t>D14</t>
  </si>
  <si>
    <t>PC27</t>
  </si>
  <si>
    <t>GPIO.A.0.C[27]</t>
  </si>
  <si>
    <t>URT6.B.0.CTS</t>
  </si>
  <si>
    <t>SPI2.B.1.CS[0]</t>
  </si>
  <si>
    <t>DRAM.AB.0.CLK[0]</t>
  </si>
  <si>
    <t>PPI0.AB.0.CTR[0]</t>
  </si>
  <si>
    <t>PWM3.C.0.P[3]</t>
  </si>
  <si>
    <t>TRGM.C.0.P[27]</t>
  </si>
  <si>
    <t>QEI1.C.0.F</t>
  </si>
  <si>
    <t>PD09</t>
  </si>
  <si>
    <t>D13</t>
  </si>
  <si>
    <t>PC28</t>
  </si>
  <si>
    <t>GPIO.A.0.C[28]</t>
  </si>
  <si>
    <t>URT7.B.0.CTS</t>
  </si>
  <si>
    <t>I2C5.C.1.SDA</t>
  </si>
  <si>
    <t>SPI2.B.1.MISO</t>
  </si>
  <si>
    <t>DRAM.AB.0.CKE</t>
  </si>
  <si>
    <t>PPI0.B.0.DM[0]</t>
  </si>
  <si>
    <t>PWM3.C.0.P[4]</t>
  </si>
  <si>
    <t>TRGM.C.0.P[28]</t>
  </si>
  <si>
    <t>QEI1.C.0.H0</t>
  </si>
  <si>
    <t>SEI3.D.0.CK</t>
  </si>
  <si>
    <t>PD10</t>
  </si>
  <si>
    <t>E14</t>
  </si>
  <si>
    <t>PC29</t>
  </si>
  <si>
    <t>GPIO.A.0.C[29]</t>
  </si>
  <si>
    <t>TMR3.B.0.COMP[3]</t>
  </si>
  <si>
    <t>URT7.B.0.DE</t>
  </si>
  <si>
    <t>URT7.B.0.RTS</t>
  </si>
  <si>
    <t>I2C5.C.1.SCL</t>
  </si>
  <si>
    <t>SPI2.B.1.MOSI</t>
  </si>
  <si>
    <t>CAN7.C.0.STBY</t>
  </si>
  <si>
    <t>DRAM.AB.0.SCLK[0]</t>
  </si>
  <si>
    <t>PPI0.AB.0.CLK</t>
  </si>
  <si>
    <t>PWM3.C.0.P[5]</t>
  </si>
  <si>
    <t>TRGM.C.0.P[29]</t>
  </si>
  <si>
    <t>QEI1.C.0.Z</t>
  </si>
  <si>
    <t>QEO3.D.0.Z</t>
  </si>
  <si>
    <t>SEI3.D.0.DE</t>
  </si>
  <si>
    <t>SOC.A.0.REF0</t>
  </si>
  <si>
    <t>PD11</t>
  </si>
  <si>
    <t>E13</t>
  </si>
  <si>
    <t>B12</t>
  </si>
  <si>
    <t>C11</t>
  </si>
  <si>
    <t>PC30</t>
  </si>
  <si>
    <t>GPIO.A.0.C[30]</t>
  </si>
  <si>
    <t>URT7.B.1.RXD</t>
  </si>
  <si>
    <t>SPI2.B.1.DAT2</t>
  </si>
  <si>
    <t>CAN7.C.0.RXD</t>
  </si>
  <si>
    <t>DRAM.AB.0.SCS[0]</t>
  </si>
  <si>
    <t>PPI0.AB.0.CS[0]</t>
  </si>
  <si>
    <t>PWM3.C.0.P[6]</t>
  </si>
  <si>
    <t>TRGM.C.0.P[30]</t>
  </si>
  <si>
    <t>QEI1.C.0.A</t>
  </si>
  <si>
    <t>QEO3.D.0.B</t>
  </si>
  <si>
    <t>SEI3.D.0.RX</t>
  </si>
  <si>
    <t>SOC.A.0.REF1</t>
  </si>
  <si>
    <t>PD12</t>
  </si>
  <si>
    <t>F14</t>
  </si>
  <si>
    <t>D11</t>
  </si>
  <si>
    <t>PC31</t>
  </si>
  <si>
    <t>GPIO.A.0.C[31]</t>
  </si>
  <si>
    <t>TMR2.B.0.COMP[3]</t>
  </si>
  <si>
    <t>URT7.B.0.TXD</t>
  </si>
  <si>
    <t>SPI2.B.1.DAT3</t>
  </si>
  <si>
    <t>CAN7.C.0.TXD</t>
  </si>
  <si>
    <t>DRAM.AB.0.SCS[1]</t>
  </si>
  <si>
    <t>PPI0.AB.0.CS[1]</t>
  </si>
  <si>
    <t>PWM3.C.0.P[7]</t>
  </si>
  <si>
    <t>TRGM.C.0.P[31]</t>
  </si>
  <si>
    <t>QEI1.C.0.B</t>
  </si>
  <si>
    <t>QEO3.D.0.A</t>
  </si>
  <si>
    <t>SEI3.D.0.TX</t>
  </si>
  <si>
    <t>PD13</t>
  </si>
  <si>
    <t>C12</t>
  </si>
  <si>
    <t>F13</t>
  </si>
  <si>
    <t>A14</t>
  </si>
  <si>
    <t>D10</t>
  </si>
  <si>
    <t>B06</t>
  </si>
  <si>
    <t>GPIO.A.0.D[00]</t>
  </si>
  <si>
    <t>TMR5.B.0.COMP[0]</t>
  </si>
  <si>
    <t>URT8.B.0.TXD</t>
  </si>
  <si>
    <t>CAN0.D.0.TXD</t>
  </si>
  <si>
    <t>DRAM.AB.0.A[02]</t>
  </si>
  <si>
    <t>PPI0.B.0.DQ[02]</t>
  </si>
  <si>
    <t>PWM0.D.0.P[0]</t>
  </si>
  <si>
    <t>TRGM.D.0.P[00]</t>
  </si>
  <si>
    <t>XPI_SLV.A.0.ADQ[2]</t>
  </si>
  <si>
    <t>ADC0.A.IN08</t>
  </si>
  <si>
    <t>ADC1.A.IN08</t>
  </si>
  <si>
    <t>CMP0.A.INN7</t>
  </si>
  <si>
    <t>CMP2.A.INN7</t>
  </si>
  <si>
    <t>D9</t>
  </si>
  <si>
    <t>GPIO.A.0.D[01]</t>
  </si>
  <si>
    <t>TMR5.B.0.CAPT[0]</t>
  </si>
  <si>
    <t>URT8.B.1.RXD</t>
  </si>
  <si>
    <t>CAN0.D.0.RXD</t>
  </si>
  <si>
    <t>DRAM.AB.0.A[03]</t>
  </si>
  <si>
    <t>PPI0.B.0.DQ[03]</t>
  </si>
  <si>
    <t>PWM0.D.0.P[1]</t>
  </si>
  <si>
    <t>TRGM.D.0.P[01]</t>
  </si>
  <si>
    <t>XPI_SLV.A.1.CSN</t>
  </si>
  <si>
    <t>ADC0.A.IN12</t>
  </si>
  <si>
    <t>ADC1.A.IN12</t>
  </si>
  <si>
    <t>CMP1.A.INN7</t>
  </si>
  <si>
    <t>CMP3.A.INN7</t>
  </si>
  <si>
    <t>E7</t>
  </si>
  <si>
    <t>C10</t>
  </si>
  <si>
    <t>GPIO.A.0.D[02]</t>
  </si>
  <si>
    <t>TMR5.B.0.COMP[1]</t>
  </si>
  <si>
    <t>URT8.B.0.DE</t>
  </si>
  <si>
    <t>URT8.B.0.RTS</t>
  </si>
  <si>
    <t>I2C2.D.1.SCL</t>
  </si>
  <si>
    <t>CAN0.D.0.STBY</t>
  </si>
  <si>
    <t>DRAM.AB.0.A[00]</t>
  </si>
  <si>
    <t>PPI0.B.0.DQ[00]</t>
  </si>
  <si>
    <t>PWM0.D.0.P[2]</t>
  </si>
  <si>
    <t>TRGM.D.0.P[02]</t>
  </si>
  <si>
    <t>QEI0.D.0.H1</t>
  </si>
  <si>
    <t>XPI_SLV.A.0.ERR</t>
  </si>
  <si>
    <t>ADC0.A.IN11</t>
  </si>
  <si>
    <t>ADC1.A.IN11</t>
  </si>
  <si>
    <t>CMP1.A.INP7</t>
  </si>
  <si>
    <t>CMP3.A.INP7</t>
  </si>
  <si>
    <t>GPIO.A.0.D[03]</t>
  </si>
  <si>
    <t>TMR5.B.0.CAPT[1]</t>
  </si>
  <si>
    <t>URT8.B.0.CTS</t>
  </si>
  <si>
    <t>I2C2.D.1.SDA</t>
  </si>
  <si>
    <t>SPI5.B.1.CS[3]</t>
  </si>
  <si>
    <t>CAN1.D.0.STBY</t>
  </si>
  <si>
    <t>DRAM.AB.0.A[01]</t>
  </si>
  <si>
    <t>PPI0.B.0.DQ[01]</t>
  </si>
  <si>
    <t>PWM0.D.0.P[3]</t>
  </si>
  <si>
    <t>TRGM.D.0.P[03]</t>
  </si>
  <si>
    <t>QEI0.D.0.F</t>
  </si>
  <si>
    <t>XPI_SLV.A.0.CLK</t>
  </si>
  <si>
    <t>ADC0.A.IN13</t>
  </si>
  <si>
    <t>ADC1.A.IN13</t>
  </si>
  <si>
    <t>CMP0.A.INP7</t>
  </si>
  <si>
    <t>CMP2.A.INP7</t>
  </si>
  <si>
    <t>E8</t>
  </si>
  <si>
    <t>GPIO.A.0.D[04]</t>
  </si>
  <si>
    <t>URT9.B.0.CTS</t>
  </si>
  <si>
    <t>SPI4.B.0.SCLK</t>
  </si>
  <si>
    <t>CAN1.D.0.RXD</t>
  </si>
  <si>
    <t>DRAM.AB.0.A[10]</t>
  </si>
  <si>
    <t>PPI0.B.0.DQ[10]</t>
  </si>
  <si>
    <t>PWM0.D.0.P[4]</t>
  </si>
  <si>
    <t>TRGM.D.0.P[04]</t>
  </si>
  <si>
    <t>QEI0.D.0.H0</t>
  </si>
  <si>
    <t>SEI0.E.0.CK</t>
  </si>
  <si>
    <t>ADC0.A.IN03</t>
  </si>
  <si>
    <t>ADC1.A.IN03</t>
  </si>
  <si>
    <t>CMP0.A.INP4</t>
  </si>
  <si>
    <t>CMP1.A.INP4</t>
  </si>
  <si>
    <t>CMP2.A.INP4</t>
  </si>
  <si>
    <t>CMP3.A.INP4</t>
  </si>
  <si>
    <t>GPIO.A.0.D[05]</t>
  </si>
  <si>
    <t>TMR5.B.0.COMP[2]</t>
  </si>
  <si>
    <t>URT9.B.0.DE</t>
  </si>
  <si>
    <t>URT9.B.0.RTS</t>
  </si>
  <si>
    <t>SPI4.B.1.CS[0]</t>
  </si>
  <si>
    <t>CAN1.D.0.TXD</t>
  </si>
  <si>
    <t>DRAM.AB.0.BA0</t>
  </si>
  <si>
    <t>PPI0.B.0.DQ[13]</t>
  </si>
  <si>
    <t>PWM0.D.0.P[5]</t>
  </si>
  <si>
    <t>TRGM.D.0.P[05]</t>
  </si>
  <si>
    <t>QEI0.D.0.Z</t>
  </si>
  <si>
    <t>QEO0.E.0.Z</t>
  </si>
  <si>
    <t>SEI0.E.0.DE</t>
  </si>
  <si>
    <t>ADC0.A.IN02</t>
  </si>
  <si>
    <t>ADC1.A.IN02</t>
  </si>
  <si>
    <t>CMP0.A.INN4</t>
  </si>
  <si>
    <t>CMP1.A.INN4</t>
  </si>
  <si>
    <t>CMP2.A.INN4</t>
  </si>
  <si>
    <t>CMP3.A.INN4</t>
  </si>
  <si>
    <t>GPIO.A.0.D[06]</t>
  </si>
  <si>
    <t>TMR4.B.0.CAPT[0]</t>
  </si>
  <si>
    <t>URT9.B.1.RXD</t>
  </si>
  <si>
    <t>I2C3.D.1.SDA</t>
  </si>
  <si>
    <t>SPI4.B.1.MISO</t>
  </si>
  <si>
    <t>DRAM.AB.0.BA1</t>
  </si>
  <si>
    <t>PPI0.B.0.DQ[14]</t>
  </si>
  <si>
    <t>PWM0.D.0.P[6]</t>
  </si>
  <si>
    <t>TRGM.D.0.P[06]</t>
  </si>
  <si>
    <t>QEI0.D.0.B</t>
  </si>
  <si>
    <t>QEO0.E.0.B</t>
  </si>
  <si>
    <t>SEI0.E.0.RX</t>
  </si>
  <si>
    <t>ADC0.A.IN14</t>
  </si>
  <si>
    <t>ADC1.A.IN14</t>
  </si>
  <si>
    <t>CMP0.A.INN5</t>
  </si>
  <si>
    <t>CMP1.A.INN5</t>
  </si>
  <si>
    <t>CMP2.A.INN5</t>
  </si>
  <si>
    <t>CMP3.A.INN5</t>
  </si>
  <si>
    <t>E9</t>
  </si>
  <si>
    <t>GPIO.A.0.D[07]</t>
  </si>
  <si>
    <t>TMR4.B.0.COMP[0]</t>
  </si>
  <si>
    <t>URT9.B.0.TXD</t>
  </si>
  <si>
    <t>I2C3.D.1.SCL</t>
  </si>
  <si>
    <t>SPI4.B.1.MOSI</t>
  </si>
  <si>
    <t>DRAM.AB.0.SCLK[1]</t>
  </si>
  <si>
    <t>PPI0.AB.0.CTR[3]</t>
  </si>
  <si>
    <t>PWM0.D.0.P[7]</t>
  </si>
  <si>
    <t>TRGM.D.0.P[07]</t>
  </si>
  <si>
    <t>QEI0.D.0.A</t>
  </si>
  <si>
    <t>QEO0.E.0.A</t>
  </si>
  <si>
    <t>SEI0.E.0.TX</t>
  </si>
  <si>
    <t>ADC0.A.IN15</t>
  </si>
  <si>
    <t>ADC1.A.IN15</t>
  </si>
  <si>
    <t>CMP0.A.INN3</t>
  </si>
  <si>
    <t>CMP1.A.INN3</t>
  </si>
  <si>
    <t>CMP2.A.INN3</t>
  </si>
  <si>
    <t>CMP3.A.INN3</t>
  </si>
  <si>
    <t>B13</t>
  </si>
  <si>
    <t>GPIO.A.0.D[08]</t>
  </si>
  <si>
    <t>TMR4.B.0.COMP[1]</t>
  </si>
  <si>
    <t>URTA.B.0.TXD</t>
  </si>
  <si>
    <t>I2C0.D.1.SCL</t>
  </si>
  <si>
    <t>SPI5.B.1.CS[2]</t>
  </si>
  <si>
    <t>CAN2.D.0.TXD</t>
  </si>
  <si>
    <t>DRAM.AB.0.CS[1]</t>
  </si>
  <si>
    <t>PPI0.AB.0.CS[3]</t>
  </si>
  <si>
    <t>PWM1.D.0.P[0]</t>
  </si>
  <si>
    <t>TRGM.D.0.P[08]</t>
  </si>
  <si>
    <t>ADC0.A.IN10</t>
  </si>
  <si>
    <t>ADC1.A.IN10</t>
  </si>
  <si>
    <t>CMP0.A.INP5</t>
  </si>
  <si>
    <t>CMP1.A.INP5</t>
  </si>
  <si>
    <t>CMP2.A.INP5</t>
  </si>
  <si>
    <t>CMP3.A.INP5</t>
  </si>
  <si>
    <t>C13</t>
  </si>
  <si>
    <t>GPIO.A.0.D[09]</t>
  </si>
  <si>
    <t>TMR4.B.0.CAPT[1]</t>
  </si>
  <si>
    <t>URTA.B.1.RXD</t>
  </si>
  <si>
    <t>I2C0.D.1.SDA</t>
  </si>
  <si>
    <t>SPI5.B.1.CS[1]</t>
  </si>
  <si>
    <t>CAN2.D.0.RXD</t>
  </si>
  <si>
    <t>DRAM.A.0.DQS</t>
  </si>
  <si>
    <t>PWM1.D.0.P[1]</t>
  </si>
  <si>
    <t>TRGM.D.0.P[09]</t>
  </si>
  <si>
    <t>ADC0.A.IN09</t>
  </si>
  <si>
    <t>ADC1.A.IN09</t>
  </si>
  <si>
    <t>CMP0.A.INP3</t>
  </si>
  <si>
    <t>CMP1.A.INP3</t>
  </si>
  <si>
    <t>CMP2.A.INP3</t>
  </si>
  <si>
    <t>CMP3.A.INP3</t>
  </si>
  <si>
    <t>E10</t>
  </si>
  <si>
    <t>D12</t>
  </si>
  <si>
    <t>GPIO.A.0.D[10]</t>
  </si>
  <si>
    <t>TMR4.B.0.COMP[2]</t>
  </si>
  <si>
    <t>URTA.B.0.DE</t>
  </si>
  <si>
    <t>URTA.B.0.RTS</t>
  </si>
  <si>
    <t>SPI5.B.0.SCLK</t>
  </si>
  <si>
    <t>CAN2.D.0.STBY</t>
  </si>
  <si>
    <t>DRAM.AB.0.RAS</t>
  </si>
  <si>
    <t>PPI0.AB.0.CTR[1]</t>
  </si>
  <si>
    <t>PWM1.D.0.P[2]</t>
  </si>
  <si>
    <t>TRGM.D.0.P[10]</t>
  </si>
  <si>
    <t>QEI3.D.0.F</t>
  </si>
  <si>
    <t>ADC0.A.IN01</t>
  </si>
  <si>
    <t>ADC1.A.IN01</t>
  </si>
  <si>
    <t>CMP0.A.INN6</t>
  </si>
  <si>
    <t>CMP1.A.INN6</t>
  </si>
  <si>
    <t>CMP2.A.INN6</t>
  </si>
  <si>
    <t>CMP3.A.INN6</t>
  </si>
  <si>
    <t>E12</t>
  </si>
  <si>
    <t>GPIO.A.0.D[11]</t>
  </si>
  <si>
    <t>URTA.B.0.CTS</t>
  </si>
  <si>
    <t>SPI5.B.1.CS[0]</t>
  </si>
  <si>
    <t>DRAM.AB.0.CS[0]</t>
  </si>
  <si>
    <t>PPI0.AB.0.CS[2]</t>
  </si>
  <si>
    <t>PWM1.D.0.P[3]</t>
  </si>
  <si>
    <t>TRGM.D.0.P[11]</t>
  </si>
  <si>
    <t>QEI3.D.0.H1</t>
  </si>
  <si>
    <t>ADC0.A.IN00</t>
  </si>
  <si>
    <t>ADC1.A.IN00</t>
  </si>
  <si>
    <t>CMP0.A.INP6</t>
  </si>
  <si>
    <t>CMP1.A.INP6</t>
  </si>
  <si>
    <t>CMP2.A.INP6</t>
  </si>
  <si>
    <t>CMP3.A.INP6</t>
  </si>
  <si>
    <t>E11</t>
  </si>
  <si>
    <t>GPIO.A.0.D[12]</t>
  </si>
  <si>
    <t>URTB.B.0.CTS</t>
  </si>
  <si>
    <t>I2C1.D.1.SDA</t>
  </si>
  <si>
    <t>SPI5.B.1.MISO</t>
  </si>
  <si>
    <t>DRAM.AB.0.WE</t>
  </si>
  <si>
    <t>PPI0.B.0.DQ[15]</t>
  </si>
  <si>
    <t>PWM1.D.0.P[4]</t>
  </si>
  <si>
    <t>TRGM.D.0.P[12]</t>
  </si>
  <si>
    <t>QEI3.D.0.H0</t>
  </si>
  <si>
    <t>SEI2.E.0.CK</t>
  </si>
  <si>
    <t>CPU1.D.0.NMI</t>
  </si>
  <si>
    <t>ADC0.A.IN05</t>
  </si>
  <si>
    <t>ADC1.A.IN05</t>
  </si>
  <si>
    <t>CMP0.A.INN2</t>
  </si>
  <si>
    <t>CMP1.A.INN2</t>
  </si>
  <si>
    <t>CMP2.A.INN2</t>
  </si>
  <si>
    <t>CMP3.A.INN2</t>
  </si>
  <si>
    <t>F12</t>
  </si>
  <si>
    <t>GPIO.A.0.D[13]</t>
  </si>
  <si>
    <t>TMR5.B.0.COMP[3]</t>
  </si>
  <si>
    <t>URTB.B.0.DE</t>
  </si>
  <si>
    <t>URTB.B.0.RTS</t>
  </si>
  <si>
    <t>I2C1.D.1.SCL</t>
  </si>
  <si>
    <t>SPI5.B.1.MOSI</t>
  </si>
  <si>
    <t>CAN3.D.0.STBY</t>
  </si>
  <si>
    <t>DRAM.AB.0.CAS</t>
  </si>
  <si>
    <t>PPI0.B.0.DM[1]</t>
  </si>
  <si>
    <t>PWM1.D.0.P[5]</t>
  </si>
  <si>
    <t>TRGM.D.0.P[13]</t>
  </si>
  <si>
    <t>QEI3.D.0.Z</t>
  </si>
  <si>
    <t>QEO2.E.0.Z</t>
  </si>
  <si>
    <t>SEI2.E.0.DE</t>
  </si>
  <si>
    <t>ADC0.A.IN04</t>
  </si>
  <si>
    <t>ADC1.A.IN04</t>
  </si>
  <si>
    <t>CMP0.A.INP2</t>
  </si>
  <si>
    <t>CMP1.A.INP2</t>
  </si>
  <si>
    <t>CMP2.A.INP2</t>
  </si>
  <si>
    <t>CMP3.A.INP2</t>
  </si>
  <si>
    <t>F11</t>
  </si>
  <si>
    <t>PD14</t>
  </si>
  <si>
    <t>GPIO.A.0.D[14]</t>
  </si>
  <si>
    <t>URTB.B.1.RXD</t>
  </si>
  <si>
    <t>SPI5.B.1.DAT2</t>
  </si>
  <si>
    <t>CAN3.D.0.RXD</t>
  </si>
  <si>
    <t>DRAM.AB.0.DQ[08]</t>
  </si>
  <si>
    <t>PPI0.A.0.DQ[08]</t>
  </si>
  <si>
    <t>PWM1.D.0.P[6]</t>
  </si>
  <si>
    <t>TRGM.D.0.P[14]</t>
  </si>
  <si>
    <t>QEI3.D.0.B</t>
  </si>
  <si>
    <t>QEO2.E.0.B</t>
  </si>
  <si>
    <t>SEI2.E.0.RX</t>
  </si>
  <si>
    <t>SYSCTL.A.0.CLK_OBS[3]</t>
  </si>
  <si>
    <t>TEST_IN[14]</t>
  </si>
  <si>
    <t>PD23</t>
  </si>
  <si>
    <t>ADC0.A.IN06</t>
  </si>
  <si>
    <t>ADC1.A.IN06</t>
  </si>
  <si>
    <t>CMP0.A.INN1</t>
  </si>
  <si>
    <t>CMP1.A.INN1</t>
  </si>
  <si>
    <t>CMP2.A.INN1</t>
  </si>
  <si>
    <t>CMP3.A.INN1</t>
  </si>
  <si>
    <t>G14</t>
  </si>
  <si>
    <t>G10</t>
  </si>
  <si>
    <t>PD15</t>
  </si>
  <si>
    <t>GPIO.A.0.D[15]</t>
  </si>
  <si>
    <t>TMR4.B.0.COMP[3]</t>
  </si>
  <si>
    <t>URTB.B.0.TXD</t>
  </si>
  <si>
    <t>SPI5.B.1.DAT3</t>
  </si>
  <si>
    <t>CAN3.D.0.TXD</t>
  </si>
  <si>
    <t>DRAM.AB.0.DM[1]</t>
  </si>
  <si>
    <t>PPI0.A.0.DM[1]</t>
  </si>
  <si>
    <t>PWM1.D.0.P[7]</t>
  </si>
  <si>
    <t>TRGM.D.0.P[15]</t>
  </si>
  <si>
    <t>QEI3.D.0.A</t>
  </si>
  <si>
    <t>QEO2.E.0.A</t>
  </si>
  <si>
    <t>SEI2.E.0.TX</t>
  </si>
  <si>
    <t>SYSCTL.A.0.CLK_OBS[2]</t>
  </si>
  <si>
    <t>TEST_IN[15]</t>
  </si>
  <si>
    <t>PD24</t>
  </si>
  <si>
    <t>ADC0.A.IN07</t>
  </si>
  <si>
    <t>ADC1.A.IN07</t>
  </si>
  <si>
    <t>CMP0.A.INP1</t>
  </si>
  <si>
    <t>CMP1.A.INP1</t>
  </si>
  <si>
    <t>CMP2.A.INP1</t>
  </si>
  <si>
    <t>CMP3.A.INP1</t>
  </si>
  <si>
    <t>G13</t>
  </si>
  <si>
    <t>B15</t>
  </si>
  <si>
    <t>G11</t>
  </si>
  <si>
    <t>PD16</t>
  </si>
  <si>
    <t>B07</t>
  </si>
  <si>
    <t>GPIO.A.0.D[16]</t>
  </si>
  <si>
    <t>TMR7.B.0.COMP[0]</t>
  </si>
  <si>
    <t>URTC.B.0.TXD</t>
  </si>
  <si>
    <t>CAN4.D.0.TXD</t>
  </si>
  <si>
    <t>DRAM.AB.0.DQ[10]</t>
  </si>
  <si>
    <t>PPI0.A.0.DQ[10]</t>
  </si>
  <si>
    <t>PWM2.D.0.P[0]</t>
  </si>
  <si>
    <t>TRGM.D.0.P[16]</t>
  </si>
  <si>
    <t>SYSCTL.A.0.CLK_OBS[0]</t>
  </si>
  <si>
    <t>TEST_IN[16]</t>
  </si>
  <si>
    <t>PD25</t>
  </si>
  <si>
    <t>ADC2.A.IN08</t>
  </si>
  <si>
    <t>ADC3.A.IN08</t>
  </si>
  <si>
    <t>CMP4.A.INN7</t>
  </si>
  <si>
    <t>CMP6.A.INN7</t>
  </si>
  <si>
    <t>G12</t>
  </si>
  <si>
    <t>D15</t>
  </si>
  <si>
    <t>H9</t>
  </si>
  <si>
    <t>PD17</t>
  </si>
  <si>
    <t>GPIO.A.0.D[17]</t>
  </si>
  <si>
    <t>TMR7.B.0.CAPT[0]</t>
  </si>
  <si>
    <t>URTC.B.1.RXD</t>
  </si>
  <si>
    <t>CAN4.D.0.RXD</t>
  </si>
  <si>
    <t>DRAM.AB.0.DQ[09]</t>
  </si>
  <si>
    <t>PPI0.A.0.DQ[09]</t>
  </si>
  <si>
    <t>PWM2.D.0.P[1]</t>
  </si>
  <si>
    <t>TRGM.D.0.P[17]</t>
  </si>
  <si>
    <t>SYSCTL.A.0.CLK_OBS[1]</t>
  </si>
  <si>
    <t>TEST_IN[17]</t>
  </si>
  <si>
    <t>PD26</t>
  </si>
  <si>
    <t>ADC2.A.IN12</t>
  </si>
  <si>
    <t>ADC3.A.IN12</t>
  </si>
  <si>
    <t>CMP5.A.INN7</t>
  </si>
  <si>
    <t>CMP7.A.INN7</t>
  </si>
  <si>
    <t>H14</t>
  </si>
  <si>
    <t>A16</t>
  </si>
  <si>
    <t>J9</t>
  </si>
  <si>
    <t>PD18</t>
  </si>
  <si>
    <t>GPIO.A.0.D[18]</t>
  </si>
  <si>
    <t>TMR7.B.0.COMP[1]</t>
  </si>
  <si>
    <t>URTC.B.0.DE</t>
  </si>
  <si>
    <t>URTC.B.0.RTS</t>
  </si>
  <si>
    <t>I2C6.D.1.SCL</t>
  </si>
  <si>
    <t>CAN4.D.0.STBY</t>
  </si>
  <si>
    <t>DRAM.AB.0.DQ[12]</t>
  </si>
  <si>
    <t>PPI0.A.0.DQ[12]</t>
  </si>
  <si>
    <t>PWM2.D.0.P[2]</t>
  </si>
  <si>
    <t>TRGM.D.0.P[18]</t>
  </si>
  <si>
    <t>QEI2.D.0.H1</t>
  </si>
  <si>
    <t>TEST_IN[18]</t>
  </si>
  <si>
    <t>PD27</t>
  </si>
  <si>
    <t>ADC2.A.IN13</t>
  </si>
  <si>
    <t>ADC3.A.IN13</t>
  </si>
  <si>
    <t>CMP4.A.INP7</t>
  </si>
  <si>
    <t>CMP6.A.INP7</t>
  </si>
  <si>
    <t>A15</t>
  </si>
  <si>
    <t>H13</t>
  </si>
  <si>
    <t>B16</t>
  </si>
  <si>
    <t>H8</t>
  </si>
  <si>
    <t>PD19</t>
  </si>
  <si>
    <t>GPIO.A.0.D[19]</t>
  </si>
  <si>
    <t>TMR7.B.0.CAPT[1]</t>
  </si>
  <si>
    <t>URTC.B.0.CTS</t>
  </si>
  <si>
    <t>I2C6.D.1.SDA</t>
  </si>
  <si>
    <t>SPI6.B.1.CS[3]</t>
  </si>
  <si>
    <t>CAN5.D.0.STBY</t>
  </si>
  <si>
    <t>DRAM.AB.0.DQ[11]</t>
  </si>
  <si>
    <t>PPI0.A.0.DQ[11]</t>
  </si>
  <si>
    <t>PWM2.D.0.P[3]</t>
  </si>
  <si>
    <t>TRGM.D.0.P[19]</t>
  </si>
  <si>
    <t>QEI2.D.0.F</t>
  </si>
  <si>
    <t>TEST_IN[19]</t>
  </si>
  <si>
    <t>PD28</t>
  </si>
  <si>
    <t>ADC2.A.IN11</t>
  </si>
  <si>
    <t>ADC3.A.IN11</t>
  </si>
  <si>
    <t>CMP5.A.INP7</t>
  </si>
  <si>
    <t>CMP7.A.INP7</t>
  </si>
  <si>
    <t>H12</t>
  </si>
  <si>
    <t>C16</t>
  </si>
  <si>
    <t>G9</t>
  </si>
  <si>
    <t>PD20</t>
  </si>
  <si>
    <t>GPIO.A.0.D[20]</t>
  </si>
  <si>
    <t>URTD.B.0.CTS</t>
  </si>
  <si>
    <t>SPI7.B.0.SCLK</t>
  </si>
  <si>
    <t>CAN5.D.0.RXD</t>
  </si>
  <si>
    <t>DRAM.AB.0.DQ[14]</t>
  </si>
  <si>
    <t>PPI0.A.0.DQ[14]</t>
  </si>
  <si>
    <t>PWM2.D.0.P[4]</t>
  </si>
  <si>
    <t>TRGM.D.0.P[20]</t>
  </si>
  <si>
    <t>QEI2.D.0.H0</t>
  </si>
  <si>
    <t>SEI1.E.0.CK</t>
  </si>
  <si>
    <t>TEST_IN[20]</t>
  </si>
  <si>
    <t>PD29</t>
  </si>
  <si>
    <t>ADC2.A.IN03</t>
  </si>
  <si>
    <t>ADC3.A.IN03</t>
  </si>
  <si>
    <t>CMP4.A.INP4</t>
  </si>
  <si>
    <t>CMP5.A.INP4</t>
  </si>
  <si>
    <t>CMP6.A.INP4</t>
  </si>
  <si>
    <t>CMP7.A.INP4</t>
  </si>
  <si>
    <t>J14</t>
  </si>
  <si>
    <t>D16</t>
  </si>
  <si>
    <t>H10</t>
  </si>
  <si>
    <t>PD21</t>
  </si>
  <si>
    <t>GPIO.A.0.D[21]</t>
  </si>
  <si>
    <t>TMR7.B.0.COMP[2]</t>
  </si>
  <si>
    <t>URTD.B.0.DE</t>
  </si>
  <si>
    <t>URTD.B.0.RTS</t>
  </si>
  <si>
    <t>SPI7.B.1.CS[0]</t>
  </si>
  <si>
    <t>CAN5.D.0.TXD</t>
  </si>
  <si>
    <t>DRAM.AB.0.DQ[13]</t>
  </si>
  <si>
    <t>PPI0.A.0.DQ[13]</t>
  </si>
  <si>
    <t>PWM2.D.0.P[5]</t>
  </si>
  <si>
    <t>TRGM.D.0.P[21]</t>
  </si>
  <si>
    <t>QEI2.D.0.Z</t>
  </si>
  <si>
    <t>QEO1.E.0.Z</t>
  </si>
  <si>
    <t>SEI1.E.0.DE</t>
  </si>
  <si>
    <t>TEST_IN[21]</t>
  </si>
  <si>
    <t>PD30</t>
  </si>
  <si>
    <t>ADC2.A.IN02</t>
  </si>
  <si>
    <t>ADC3.A.IN02</t>
  </si>
  <si>
    <t>CMP4.A.INN4</t>
  </si>
  <si>
    <t>CMP5.A.INN4</t>
  </si>
  <si>
    <t>CMP6.A.INN4</t>
  </si>
  <si>
    <t>CMP7.A.INN4</t>
  </si>
  <si>
    <t>J13</t>
  </si>
  <si>
    <t>B17</t>
  </si>
  <si>
    <t>J8</t>
  </si>
  <si>
    <t>PD22</t>
  </si>
  <si>
    <t>GPIO.A.0.D[22]</t>
  </si>
  <si>
    <t>TMR6.B.0.CAPT[0]</t>
  </si>
  <si>
    <t>URTD.B.1.RXD</t>
  </si>
  <si>
    <t>I2C7.D.1.SDA</t>
  </si>
  <si>
    <t>SPI7.B.1.MISO</t>
  </si>
  <si>
    <t>DRAM.AB.0.DQ[15]</t>
  </si>
  <si>
    <t>PPI0.A.0.DQ[15]</t>
  </si>
  <si>
    <t>PWM2.D.0.P[6]</t>
  </si>
  <si>
    <t>TRGM.D.0.P[22]</t>
  </si>
  <si>
    <t>QEI2.D.0.B</t>
  </si>
  <si>
    <t>QEO1.E.0.B</t>
  </si>
  <si>
    <t>SEI1.E.0.RX</t>
  </si>
  <si>
    <t>TEST_IN[22]</t>
  </si>
  <si>
    <t>PD31</t>
  </si>
  <si>
    <t>ADC2.A.IN14</t>
  </si>
  <si>
    <t>ADC3.A.IN14</t>
  </si>
  <si>
    <t>CMP4.A.INN5</t>
  </si>
  <si>
    <t>CMP5.A.INN5</t>
  </si>
  <si>
    <t>CMP6.A.INN5</t>
  </si>
  <si>
    <t>CMP7.A.INN5</t>
  </si>
  <si>
    <t>J12</t>
  </si>
  <si>
    <t>D17</t>
  </si>
  <si>
    <t>H11</t>
  </si>
  <si>
    <t>GPIO.A.0.D[23]</t>
  </si>
  <si>
    <t>TMR6.B.0.COMP[0]</t>
  </si>
  <si>
    <t>URTD.B.0.TXD</t>
  </si>
  <si>
    <t>I2C7.D.1.SCL</t>
  </si>
  <si>
    <t>SPI7.B.1.MOSI</t>
  </si>
  <si>
    <t>DRAM.AB.0.DM[0]</t>
  </si>
  <si>
    <t>PPI0.A.0.DM[0]</t>
  </si>
  <si>
    <t>PWM2.D.0.P[7]</t>
  </si>
  <si>
    <t>TRGM.D.0.P[23]</t>
  </si>
  <si>
    <t>QEI2.D.0.A</t>
  </si>
  <si>
    <t>QEO1.E.0.A</t>
  </si>
  <si>
    <t>SEI1.E.0.TX</t>
  </si>
  <si>
    <t>TEST_IN[23]</t>
  </si>
  <si>
    <t>ADC2.A.IN15</t>
  </si>
  <si>
    <t>ADC3.A.IN15</t>
  </si>
  <si>
    <t>CMP4.A.INN3</t>
  </si>
  <si>
    <t>CMP5.A.INN3</t>
  </si>
  <si>
    <t>CMP6.A.INN3</t>
  </si>
  <si>
    <t>CMP7.A.INN3</t>
  </si>
  <si>
    <t>F10</t>
  </si>
  <si>
    <t>J10</t>
  </si>
  <si>
    <t>GPIO.A.0.D[24]</t>
  </si>
  <si>
    <t>TMR6.B.0.COMP[1]</t>
  </si>
  <si>
    <t>URTE.B.0.TXD</t>
  </si>
  <si>
    <t>I2C4.D.1.SCL</t>
  </si>
  <si>
    <t>SPI6.B.1.CS[2]</t>
  </si>
  <si>
    <t>CAN6.D.0.TXD</t>
  </si>
  <si>
    <t>DRAM.AB.0.DQ[06]</t>
  </si>
  <si>
    <t>PPI0.A.0.DQ[06]</t>
  </si>
  <si>
    <t>PWM3.D.0.P[0]</t>
  </si>
  <si>
    <t>TRGM.D.0.P[24]</t>
  </si>
  <si>
    <t>SDM0.D.0.DAT[3]</t>
  </si>
  <si>
    <t>CPU0.D.0.NMI</t>
  </si>
  <si>
    <t>TEST_IN[24]</t>
  </si>
  <si>
    <t>ADC2.A.IN10</t>
  </si>
  <si>
    <t>ADC3.A.IN10</t>
  </si>
  <si>
    <t>CMP4.A.INP5</t>
  </si>
  <si>
    <t>CMP5.A.INP5</t>
  </si>
  <si>
    <t>CMP6.A.INP5</t>
  </si>
  <si>
    <t>CMP7.A.INP5</t>
  </si>
  <si>
    <t>E15</t>
  </si>
  <si>
    <t>F9</t>
  </si>
  <si>
    <t>K8</t>
  </si>
  <si>
    <t>GPIO.A.0.D[25]</t>
  </si>
  <si>
    <t>TMR6.B.0.CAPT[1]</t>
  </si>
  <si>
    <t>URTE.B.1.RXD</t>
  </si>
  <si>
    <t>I2C4.D.1.SDA</t>
  </si>
  <si>
    <t>SPI6.B.1.CS[1]</t>
  </si>
  <si>
    <t>CAN6.D.0.RXD</t>
  </si>
  <si>
    <t>DRAM.AB.0.DQ[07]</t>
  </si>
  <si>
    <t>PPI0.A.0.DQ[07]</t>
  </si>
  <si>
    <t>PWM3.D.0.P[1]</t>
  </si>
  <si>
    <t>TRGM.D.0.P[25]</t>
  </si>
  <si>
    <t>SDM0.D.0.CLK[3]</t>
  </si>
  <si>
    <t>TEST_IN[25]</t>
  </si>
  <si>
    <t>ADC2.A.IN09</t>
  </si>
  <si>
    <t>ADC3.A.IN09</t>
  </si>
  <si>
    <t>CMP4.A.INP3</t>
  </si>
  <si>
    <t>CMP5.A.INP3</t>
  </si>
  <si>
    <t>CMP6.A.INP3</t>
  </si>
  <si>
    <t>CMP7.A.INP3</t>
  </si>
  <si>
    <t>F15</t>
  </si>
  <si>
    <t>J11</t>
  </si>
  <si>
    <t>GPIO.A.0.D[26]</t>
  </si>
  <si>
    <t>TMR6.B.0.COMP[2]</t>
  </si>
  <si>
    <t>URTE.B.0.DE</t>
  </si>
  <si>
    <t>URTE.B.0.RTS</t>
  </si>
  <si>
    <t>SPI6.B.0.SCLK</t>
  </si>
  <si>
    <t>CAN6.D.0.STBY</t>
  </si>
  <si>
    <t>DRAM.AB.0.DQ[05]</t>
  </si>
  <si>
    <t>PPI0.A.0.DQ[05]</t>
  </si>
  <si>
    <t>PWM3.D.0.P[2]</t>
  </si>
  <si>
    <t>TRGM.D.0.P[26]</t>
  </si>
  <si>
    <t>QEI1.D.0.H1</t>
  </si>
  <si>
    <t>SDM0.D.0.CLK[2]</t>
  </si>
  <si>
    <t>TEST_IN[26]</t>
  </si>
  <si>
    <t>ADC2.A.IN01</t>
  </si>
  <si>
    <t>ADC3.A.IN01</t>
  </si>
  <si>
    <t>CMP4.A.INN6</t>
  </si>
  <si>
    <t>CMP5.A.INN6</t>
  </si>
  <si>
    <t>CMP6.A.INN6</t>
  </si>
  <si>
    <t>CMP7.A.INN6</t>
  </si>
  <si>
    <t>C15</t>
  </si>
  <si>
    <t>H15</t>
  </si>
  <si>
    <t>K9</t>
  </si>
  <si>
    <t>GPIO.A.0.D[27]</t>
  </si>
  <si>
    <t>URTE.B.0.CTS</t>
  </si>
  <si>
    <t>SPI6.B.1.CS[0]</t>
  </si>
  <si>
    <t>DRAM.AB.0.DQ[04]</t>
  </si>
  <si>
    <t>PPI0.A.0.DQ[04]</t>
  </si>
  <si>
    <t>PWM3.D.0.P[3]</t>
  </si>
  <si>
    <t>TRGM.D.0.P[27]</t>
  </si>
  <si>
    <t>QEI1.D.0.F</t>
  </si>
  <si>
    <t>SDM0.D.0.DAT[2]</t>
  </si>
  <si>
    <t>TEST_IN[27]</t>
  </si>
  <si>
    <t>ADC2.A.IN00</t>
  </si>
  <si>
    <t>ADC3.A.IN00</t>
  </si>
  <si>
    <t>CMP4.A.INP6</t>
  </si>
  <si>
    <t>CMP5.A.INP6</t>
  </si>
  <si>
    <t>CMP6.A.INP6</t>
  </si>
  <si>
    <t>CMP7.A.INP6</t>
  </si>
  <si>
    <t>F16</t>
  </si>
  <si>
    <t>L8</t>
  </si>
  <si>
    <t>GPIO.A.0.D[28]</t>
  </si>
  <si>
    <t>URTF.B.0.CTS</t>
  </si>
  <si>
    <t>I2C5.D.1.SDA</t>
  </si>
  <si>
    <t>SPI6.B.1.MISO</t>
  </si>
  <si>
    <t>DRAM.AB.0.DQ[03]</t>
  </si>
  <si>
    <t>PPI0.A.0.DQ[03]</t>
  </si>
  <si>
    <t>PWM3.D.0.P[4]</t>
  </si>
  <si>
    <t>TRGM.D.0.P[28]</t>
  </si>
  <si>
    <t>QEI1.D.0.H0</t>
  </si>
  <si>
    <t>SEI3.E.0.CK</t>
  </si>
  <si>
    <t>SDM0.D.0.CLK[1]</t>
  </si>
  <si>
    <t>TEST_IN[28]</t>
  </si>
  <si>
    <t>ADC2.A.IN05</t>
  </si>
  <si>
    <t>ADC3.A.IN05</t>
  </si>
  <si>
    <t>CMP4.A.INN2</t>
  </si>
  <si>
    <t>CMP5.A.INN2</t>
  </si>
  <si>
    <t>CMP6.A.INN2</t>
  </si>
  <si>
    <t>CMP7.A.INN2</t>
  </si>
  <si>
    <t>G16</t>
  </si>
  <si>
    <t>K10</t>
  </si>
  <si>
    <t>GPIO.A.0.D[29]</t>
  </si>
  <si>
    <t>TMR7.B.0.COMP[3]</t>
  </si>
  <si>
    <t>URTF.B.0.DE</t>
  </si>
  <si>
    <t>URTF.B.0.RTS</t>
  </si>
  <si>
    <t>I2C5.D.1.SCL</t>
  </si>
  <si>
    <t>SPI6.B.1.MOSI</t>
  </si>
  <si>
    <t>CAN7.D.0.STBY</t>
  </si>
  <si>
    <t>DRAM.AB.0.DQ[02]</t>
  </si>
  <si>
    <t>PPI0.A.0.DQ[02]</t>
  </si>
  <si>
    <t>PWM3.D.0.P[5]</t>
  </si>
  <si>
    <t>TRGM.D.0.P[29]</t>
  </si>
  <si>
    <t>QEI1.D.0.Z</t>
  </si>
  <si>
    <t>QEO3.E.0.Z</t>
  </si>
  <si>
    <t>SEI3.E.0.DE</t>
  </si>
  <si>
    <t>SDM0.D.0.DAT[1]</t>
  </si>
  <si>
    <t>TEST_IN[29]</t>
  </si>
  <si>
    <t>ADC2.A.IN04</t>
  </si>
  <si>
    <t>ADC3.A.IN04</t>
  </si>
  <si>
    <t>CMP4.A.INP2</t>
  </si>
  <si>
    <t>CMP5.A.INP2</t>
  </si>
  <si>
    <t>CMP6.A.INP2</t>
  </si>
  <si>
    <t>CMP7.A.INP2</t>
  </si>
  <si>
    <t>H16</t>
  </si>
  <si>
    <t>L9</t>
  </si>
  <si>
    <t>GPIO.A.0.D[30]</t>
  </si>
  <si>
    <t>URTF.B.1.RXD</t>
  </si>
  <si>
    <t>SPI6.B.1.DAT2</t>
  </si>
  <si>
    <t>CAN7.D.0.RXD</t>
  </si>
  <si>
    <t>DRAM.AB.0.DQ[01]</t>
  </si>
  <si>
    <t>PPI0.A.0.DQ[01]</t>
  </si>
  <si>
    <t>PWM3.D.0.P[6]</t>
  </si>
  <si>
    <t>TRGM.D.0.P[30]</t>
  </si>
  <si>
    <t>QEI1.D.0.A</t>
  </si>
  <si>
    <t>QEO3.E.0.B</t>
  </si>
  <si>
    <t>SEI3.E.0.RX</t>
  </si>
  <si>
    <t>SDM0.D.0.CLK[0]</t>
  </si>
  <si>
    <t>TEST_IN[12]</t>
  </si>
  <si>
    <t>ADC2.A.IN06</t>
  </si>
  <si>
    <t>ADC3.A.IN06</t>
  </si>
  <si>
    <t>CMP4.A.INN1</t>
  </si>
  <si>
    <t>CMP5.A.INN1</t>
  </si>
  <si>
    <t>CMP6.A.INN1</t>
  </si>
  <si>
    <t>CMP7.A.INN1</t>
  </si>
  <si>
    <t>C17</t>
  </si>
  <si>
    <t>K12</t>
  </si>
  <si>
    <t>F17</t>
  </si>
  <si>
    <t>K11</t>
  </si>
  <si>
    <t>GPIO.A.0.D[31]</t>
  </si>
  <si>
    <t>TMR6.B.0.COMP[3]</t>
  </si>
  <si>
    <t>URTF.B.0.TXD</t>
  </si>
  <si>
    <t>SPI6.B.1.DAT3</t>
  </si>
  <si>
    <t>CAN7.D.0.TXD</t>
  </si>
  <si>
    <t>DRAM.AB.0.DQ[00]</t>
  </si>
  <si>
    <t>PPI0.A.0.DQ[00]</t>
  </si>
  <si>
    <t>PWM3.D.0.P[7]</t>
  </si>
  <si>
    <t>TRGM.D.0.P[31]</t>
  </si>
  <si>
    <t>QEI1.D.0.B</t>
  </si>
  <si>
    <t>QEO3.E.0.A</t>
  </si>
  <si>
    <t>SEI3.E.0.TX</t>
  </si>
  <si>
    <t>SDM0.D.0.DAT[0]</t>
  </si>
  <si>
    <t>TEST_IN[13]</t>
  </si>
  <si>
    <t>ADC2.A.IN07</t>
  </si>
  <si>
    <t>ADC3.A.IN07</t>
  </si>
  <si>
    <t>CMP4.A.INP1</t>
  </si>
  <si>
    <t>CMP5.A.INP1</t>
  </si>
  <si>
    <t>CMP6.A.INP1</t>
  </si>
  <si>
    <t>CMP7.A.INP1</t>
  </si>
  <si>
    <t>H17</t>
  </si>
  <si>
    <t>L10</t>
  </si>
  <si>
    <t>PX00</t>
  </si>
  <si>
    <t>GPIO.A.0.X[00]</t>
  </si>
  <si>
    <t>TMR3.D.0.COMP[0]</t>
  </si>
  <si>
    <t>URT4.D.0.TXD</t>
  </si>
  <si>
    <t>CAN4.G.0.TXD</t>
  </si>
  <si>
    <t>XPI0.B.1.CB_DQS</t>
  </si>
  <si>
    <t>X15</t>
  </si>
  <si>
    <t>PX01</t>
  </si>
  <si>
    <t>GPIO.A.0.X[01]</t>
  </si>
  <si>
    <t>TMR3.D.0.CAPT[0]</t>
  </si>
  <si>
    <t>URT4.D.1.RXD</t>
  </si>
  <si>
    <t>CAN4.G.0.RXD</t>
  </si>
  <si>
    <t>XPI0.C.0.CA_D[0]</t>
  </si>
  <si>
    <t>X25</t>
  </si>
  <si>
    <t>PX02</t>
  </si>
  <si>
    <t>GPIO.A.0.X[02]</t>
  </si>
  <si>
    <t>TMR3.D.0.COMP[1]</t>
  </si>
  <si>
    <t>URT4.D.0.DE</t>
  </si>
  <si>
    <t>URT4.D.0.RTS</t>
  </si>
  <si>
    <t>I2C4.H.1.SCL</t>
  </si>
  <si>
    <t>CAN4.G.0.STBY</t>
  </si>
  <si>
    <t>XPI0.C.0.CA_SCLK</t>
  </si>
  <si>
    <t>X16</t>
  </si>
  <si>
    <t>PX03</t>
  </si>
  <si>
    <t>GPIO.A.0.X[03]</t>
  </si>
  <si>
    <t>TMR3.D.0.CAPT[1]</t>
  </si>
  <si>
    <t>URT4.D.0.CTS</t>
  </si>
  <si>
    <t>I2C4.H.1.SDA</t>
  </si>
  <si>
    <t>SPI2.D.1.CS[3]</t>
  </si>
  <si>
    <t>CAN5.G.0.STBY</t>
  </si>
  <si>
    <t>XPI0.C.0.CA_D[3]</t>
  </si>
  <si>
    <t>X26</t>
  </si>
  <si>
    <t>PX04</t>
  </si>
  <si>
    <t>GPIO.A.0.X[04]</t>
  </si>
  <si>
    <t>URT5.D.0.CTS</t>
  </si>
  <si>
    <t>SPI3.D.0.SCLK</t>
  </si>
  <si>
    <t>CAN5.G.0.RXD</t>
  </si>
  <si>
    <t>XPI0.BCD.1.CA_DQS</t>
  </si>
  <si>
    <t>X17</t>
  </si>
  <si>
    <t>PX05</t>
  </si>
  <si>
    <t>GPIO.A.0.X[05]</t>
  </si>
  <si>
    <t>TMR3.D.0.COMP[2]</t>
  </si>
  <si>
    <t>URT5.D.0.DE</t>
  </si>
  <si>
    <t>URT5.D.0.RTS</t>
  </si>
  <si>
    <t>SPI3.D.1.CS[0]</t>
  </si>
  <si>
    <t>CAN5.G.0.TXD</t>
  </si>
  <si>
    <t>XPI0.C.0.CA_CS0</t>
  </si>
  <si>
    <t>X27</t>
  </si>
  <si>
    <t>PX06</t>
  </si>
  <si>
    <t>GPIO.A.0.X[06]</t>
  </si>
  <si>
    <t>TMR2.D.0.CAPT[0]</t>
  </si>
  <si>
    <t>URT5.D.1.RXD</t>
  </si>
  <si>
    <t>I2C5.H.1.SDA</t>
  </si>
  <si>
    <t>SPI3.D.1.MISO</t>
  </si>
  <si>
    <t>XPI0.C.0.CA_D[1]</t>
  </si>
  <si>
    <t>X18</t>
  </si>
  <si>
    <t>GPIO.A.0.X[07]</t>
  </si>
  <si>
    <t>TMR2.D.0.COMP[0]</t>
  </si>
  <si>
    <t>URT5.D.0.TXD</t>
  </si>
  <si>
    <t>I2C5.H.1.SCL</t>
  </si>
  <si>
    <t>SPI3.D.1.MOSI</t>
  </si>
  <si>
    <t>DRAM.B.0.DQS</t>
  </si>
  <si>
    <t>XPI0.C.0.CA_D[2]</t>
  </si>
  <si>
    <t>X28</t>
  </si>
  <si>
    <t>PY00</t>
  </si>
  <si>
    <t>VPMC</t>
  </si>
  <si>
    <t>GPIO.A.0.Y[00]</t>
  </si>
  <si>
    <t>TMR1.E.0.COMP[0]</t>
  </si>
  <si>
    <t>URT0.E.0.TXD</t>
  </si>
  <si>
    <t>CAN0.I.0.TXD</t>
  </si>
  <si>
    <t>PY04</t>
  </si>
  <si>
    <t>PY01</t>
  </si>
  <si>
    <t>GPIO.A.0.Y[01]</t>
  </si>
  <si>
    <t>TMR1.E.0.CAPT[0]</t>
  </si>
  <si>
    <t>URT0.E.1.RXD</t>
  </si>
  <si>
    <t>CAN0.I.0.RXD</t>
  </si>
  <si>
    <t>PY05</t>
  </si>
  <si>
    <t>PY02</t>
  </si>
  <si>
    <t>GPIO.A.0.Y[02]</t>
  </si>
  <si>
    <t>TMR1.E.0.COMP[1]</t>
  </si>
  <si>
    <t>URT0.E.0.DE</t>
  </si>
  <si>
    <t>URT0.E.0.RTS</t>
  </si>
  <si>
    <t>I2C0.H.1.SCL</t>
  </si>
  <si>
    <t>CAN0.I.0.STBY</t>
  </si>
  <si>
    <t>PDM0.F.0.CLK</t>
  </si>
  <si>
    <t>PY06</t>
  </si>
  <si>
    <t>PY03</t>
  </si>
  <si>
    <t>GPIO.A.0.Y[03]</t>
  </si>
  <si>
    <t>TMR1.E.0.CAPT[1]</t>
  </si>
  <si>
    <t>URT0.E.0.CTS</t>
  </si>
  <si>
    <t>I2C0.H.1.SDA</t>
  </si>
  <si>
    <t>CAN1.I.0.STBY</t>
  </si>
  <si>
    <t>PDM0.EF.0.D[3]</t>
  </si>
  <si>
    <t>PY07</t>
  </si>
  <si>
    <t>N8</t>
  </si>
  <si>
    <t>GPIO.A.0.Y[04]</t>
  </si>
  <si>
    <t>URT1.E.0.CTS</t>
  </si>
  <si>
    <t>SPI1.E.0.SCLK</t>
  </si>
  <si>
    <t>CAN1.I.0.RXD</t>
  </si>
  <si>
    <t>PDM0.EF.0.D[2]</t>
  </si>
  <si>
    <t>PZ00</t>
  </si>
  <si>
    <t>P7</t>
  </si>
  <si>
    <t>GPIO.A.0.Y[05]</t>
  </si>
  <si>
    <t>TMR1.E.0.COMP[2]</t>
  </si>
  <si>
    <t>URT1.E.0.DE</t>
  </si>
  <si>
    <t>URT1.E.0.RTS</t>
  </si>
  <si>
    <t>SPI1.E.1.CS[0]</t>
  </si>
  <si>
    <t>CAN1.I.0.TXD</t>
  </si>
  <si>
    <t>PDM0.EF.0.D[1]</t>
  </si>
  <si>
    <t>N7</t>
  </si>
  <si>
    <t>GPIO.A.0.Y[06]</t>
  </si>
  <si>
    <t>TMR0.E.0.CAPT[0]</t>
  </si>
  <si>
    <t>URT1.E.1.RXD</t>
  </si>
  <si>
    <t>I2C1.H.1.SDA</t>
  </si>
  <si>
    <t>SPI1.E.1.MISO</t>
  </si>
  <si>
    <t>PDM0.E.0.CLK</t>
  </si>
  <si>
    <t>P6</t>
  </si>
  <si>
    <t>GPIO.A.0.Y[07]</t>
  </si>
  <si>
    <t>TMR0.E.0.COMP[0]</t>
  </si>
  <si>
    <t>URT1.E.0.TXD</t>
  </si>
  <si>
    <t>I2C1.H.1.SCL</t>
  </si>
  <si>
    <t>SPI1.E.1.MOSI</t>
  </si>
  <si>
    <t>PDM0.EF.0.D[0]</t>
  </si>
  <si>
    <t>N6</t>
  </si>
  <si>
    <t>LEVEL</t>
    <phoneticPr fontId="18" type="noConversion"/>
  </si>
  <si>
    <t>ROW_289</t>
    <phoneticPr fontId="18" type="noConversion"/>
  </si>
  <si>
    <t>COL_289</t>
    <phoneticPr fontId="18" type="noConversion"/>
  </si>
  <si>
    <t>COORD_289</t>
    <phoneticPr fontId="18" type="noConversion"/>
  </si>
  <si>
    <t>ROW_417</t>
    <phoneticPr fontId="18" type="noConversion"/>
  </si>
  <si>
    <t>COL_417</t>
    <phoneticPr fontId="18" type="noConversion"/>
  </si>
  <si>
    <t>COORD_196</t>
    <phoneticPr fontId="18" type="noConversion"/>
  </si>
  <si>
    <t>RI</t>
    <phoneticPr fontId="18" type="noConversion"/>
  </si>
  <si>
    <t>CI</t>
    <phoneticPr fontId="18" type="noConversion"/>
  </si>
  <si>
    <t>BALLNAME</t>
    <phoneticPr fontId="18" type="noConversion"/>
  </si>
  <si>
    <t>MUX</t>
    <phoneticPr fontId="18" type="noConversion"/>
  </si>
  <si>
    <t>BANK</t>
    <phoneticPr fontId="18" type="noConversion"/>
  </si>
  <si>
    <t>TYPE</t>
    <phoneticPr fontId="18" type="noConversion"/>
  </si>
  <si>
    <t>IO_SETTING</t>
    <phoneticPr fontId="18" type="noConversion"/>
  </si>
  <si>
    <t>ALT0</t>
    <phoneticPr fontId="18" type="noConversion"/>
  </si>
  <si>
    <t>DEFAULT</t>
    <phoneticPr fontId="18" type="noConversion"/>
  </si>
  <si>
    <t>BGA289</t>
    <phoneticPr fontId="18" type="noConversion"/>
  </si>
  <si>
    <t>BGA196</t>
    <phoneticPr fontId="18" type="noConversion"/>
  </si>
  <si>
    <t>MUX0_PMIC</t>
    <phoneticPr fontId="18" type="noConversion"/>
  </si>
  <si>
    <t>MUX1_PMIC</t>
  </si>
  <si>
    <t>MUX2_PMIC</t>
  </si>
  <si>
    <t>MUX3_PMIC</t>
  </si>
  <si>
    <t>PY00</t>
    <phoneticPr fontId="18" type="noConversion"/>
  </si>
  <si>
    <t>PY07</t>
    <phoneticPr fontId="18" type="noConversion"/>
  </si>
  <si>
    <t>PY08</t>
  </si>
  <si>
    <t>PY09</t>
  </si>
  <si>
    <t>PY10</t>
  </si>
  <si>
    <t>PY11</t>
  </si>
  <si>
    <t>PY12</t>
  </si>
  <si>
    <t>MUX0_PMIC</t>
  </si>
  <si>
    <t>PY13</t>
  </si>
  <si>
    <t>PY14</t>
  </si>
  <si>
    <t>PY15</t>
  </si>
  <si>
    <t>GPIO.A.Y[00]</t>
  </si>
  <si>
    <t>PURT.A.TXD</t>
  </si>
  <si>
    <t>PTMR.A.COMP[0]</t>
  </si>
  <si>
    <t>SOC.A.PY[00]</t>
  </si>
  <si>
    <t>GPIO.A.Y[01]</t>
  </si>
  <si>
    <t>PURT.A.RXD</t>
  </si>
  <si>
    <t>PTMR.A.COMP[1]</t>
  </si>
  <si>
    <t>SOC.A.PY[01]</t>
  </si>
  <si>
    <t>GPIO.A.Y[02]</t>
  </si>
  <si>
    <t>PURT.A.RTS</t>
  </si>
  <si>
    <t>PTMR.A.COMP[2]</t>
  </si>
  <si>
    <t>SOC.A.PY[02]</t>
  </si>
  <si>
    <t>GPIO.A.Y[03]</t>
  </si>
  <si>
    <t>PURT.A.CTS</t>
  </si>
  <si>
    <t>PTMR.A.COMP[3]</t>
  </si>
  <si>
    <t>SOC.A.PY[03]</t>
  </si>
  <si>
    <t>GPIO.A.Y[04]</t>
  </si>
  <si>
    <t/>
  </si>
  <si>
    <t>PTMR.B.COMP[0]</t>
  </si>
  <si>
    <t>SOC.A.PY[04]</t>
  </si>
  <si>
    <t>GPIO.A.Y[05]</t>
  </si>
  <si>
    <t>PWDG.A.RSTN</t>
  </si>
  <si>
    <t>PTMR.B.CAPT[0]</t>
  </si>
  <si>
    <t>SOC.A.PY[05]</t>
  </si>
  <si>
    <t>GPIO.A.Y[06]</t>
  </si>
  <si>
    <t>PTMR.B.COMP[1]</t>
  </si>
  <si>
    <t>SOC.A.PY[06]</t>
  </si>
  <si>
    <t>GPIO.A.Y[07]</t>
  </si>
  <si>
    <t>PTMR.B.CAPT[1]</t>
  </si>
  <si>
    <t>SOC.A.PY[07]</t>
  </si>
  <si>
    <t>GPIO.A.Y[08]</t>
  </si>
  <si>
    <t>PTMR.B.COMP[2]</t>
  </si>
  <si>
    <t>SOC.A.PY[09]</t>
  </si>
  <si>
    <t>GPIO.A.Y[09]</t>
  </si>
  <si>
    <t>PTMR.B.CAPT[2]</t>
  </si>
  <si>
    <t>SOC.A.PY[08]</t>
  </si>
  <si>
    <t>GPIO.A.Y[10]</t>
  </si>
  <si>
    <t>PTMR.B.COMP[3]</t>
  </si>
  <si>
    <t>SOC.A.PY[11]</t>
  </si>
  <si>
    <t>GPIO.A.Y[11]</t>
  </si>
  <si>
    <t>PTMR.B.CAPT[3]</t>
  </si>
  <si>
    <t>SOC.A.PY[10]</t>
  </si>
  <si>
    <t>GPIO.A.Y[12]</t>
  </si>
  <si>
    <t>SOC.A.PY[12]</t>
  </si>
  <si>
    <t>GPIO.A.Y[13]</t>
  </si>
  <si>
    <t>SOC.A.PY[13]</t>
  </si>
  <si>
    <t>GPIO.A.Y[14]</t>
  </si>
  <si>
    <t>SOC.A.PY[14]</t>
  </si>
  <si>
    <t>GPIO.A.Y[15]</t>
  </si>
  <si>
    <t>SOC.A.PY[15]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</si>
</sst>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9" fillId="33" borderId="0" xfId="42" applyFont="1" applyFill="1" applyAlignment="1">
      <alignment horizontal="center" vertical="center"/>
    </xf>
    <xf numFmtId="0" fontId="1" fillId="33" borderId="0" xfId="42" applyFill="1" applyAlignment="1">
      <alignment horizontal="center" vertical="center"/>
    </xf>
    <xf numFmtId="0" fontId="1" fillId="0" borderId="0" xfId="42" applyAlignment="1">
      <alignment horizontal="center" vertical="center"/>
    </xf>
    <xf numFmtId="0" fontId="1" fillId="0" borderId="0" xfId="42">
      <alignment vertical="center"/>
    </xf>
  </cellXfs>
  <cellStyles count="43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F0FE418B-A5A9-4D78-A24B-1CF102C60841}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HPM\copy\HPM1200\HPM1200_Ball_Map_Design_0.1.17.xlsx" TargetMode="External"/><Relationship Id="rId1" Type="http://schemas.openxmlformats.org/officeDocument/2006/relationships/externalLinkPath" Target="/HPM/copy/HPM1200/HPM1200_Ball_Map_Design_0.1.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y"/>
      <sheetName val="Package_Plan"/>
      <sheetName val="OPTIONS"/>
      <sheetName val="Reference"/>
      <sheetName val="SIP_PHY"/>
      <sheetName val="BALLNAME289_BDIF"/>
      <sheetName val="BALLNAME289"/>
      <sheetName val="BALLNAME289_head"/>
      <sheetName val="BALLNAME221"/>
      <sheetName val="BALLNAME196"/>
      <sheetName val="BALLNAME172"/>
      <sheetName val="BALLNAME144"/>
      <sheetName val="BALLNAME121_SIP"/>
      <sheetName val="BALLNAME121"/>
      <sheetName val="BALLNAME116"/>
      <sheetName val="BANK"/>
      <sheetName val="LEVEL"/>
      <sheetName val="COUNT"/>
      <sheetName val="TYPE"/>
      <sheetName val="IP_DEFAULT"/>
      <sheetName val="PINMUX"/>
      <sheetName val="PINMUX_PMIC"/>
      <sheetName val="PINMUX_BATT"/>
      <sheetName val="DAC0"/>
      <sheetName val="DAC1"/>
      <sheetName val="ADC0"/>
      <sheetName val="ADC1"/>
      <sheetName val="ADC2"/>
      <sheetName val="ADC3"/>
      <sheetName val="SDA0"/>
      <sheetName val="SDA1"/>
      <sheetName val="CMP0"/>
      <sheetName val="CMP1"/>
      <sheetName val="CMP2"/>
      <sheetName val="CMP3"/>
      <sheetName val="CMP4"/>
      <sheetName val="CMP5"/>
      <sheetName val="CMP6"/>
      <sheetName val="CMP7"/>
      <sheetName val="NET0"/>
      <sheetName val="DEDICATE"/>
      <sheetName val="LOWSPEED_TAB"/>
      <sheetName val="GPIO"/>
      <sheetName val="TMR"/>
      <sheetName val="UART_A"/>
      <sheetName val="UART_B"/>
      <sheetName val="I2C"/>
      <sheetName val="SPI"/>
      <sheetName val="LIN_A"/>
      <sheetName val="CAN"/>
      <sheetName val="PWM"/>
      <sheetName val="TRGM"/>
      <sheetName val="QEI"/>
      <sheetName val="QEO"/>
      <sheetName val="SEI"/>
      <sheetName val="AUD_A"/>
      <sheetName val="AUD_B"/>
      <sheetName val="SDM"/>
      <sheetName val="SDR32"/>
      <sheetName val="PPI"/>
      <sheetName val="QSPI"/>
      <sheetName val="SDC_A"/>
      <sheetName val="QEI_BK"/>
      <sheetName val="QEO_BK"/>
      <sheetName val="SEI_BK"/>
      <sheetName val="EMD_A"/>
      <sheetName val="EMD_B"/>
      <sheetName val="ESC_A"/>
      <sheetName val="ESC_B"/>
      <sheetName val="TSW_A"/>
      <sheetName val="TSW_B"/>
      <sheetName val="ETH_A"/>
      <sheetName val="ETH_B"/>
      <sheetName val="DISP_A"/>
      <sheetName val="CAM_A"/>
      <sheetName val="MISC_A"/>
      <sheetName val="MISC_B"/>
      <sheetName val="MISC_C"/>
      <sheetName val="MISC_D"/>
      <sheetName val="TEST_PORT"/>
      <sheetName val="TEST_BUS"/>
      <sheetName val="MUX0_PMIC"/>
      <sheetName val="MUX1_PMIC"/>
      <sheetName val="MUX2_PMIC"/>
      <sheetName val="MUX3_PMIC"/>
      <sheetName val="MUX0_BATT"/>
      <sheetName val="MUX1_BATT"/>
      <sheetName val="MUX2_BATT"/>
      <sheetName val="MUX3_BATT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VSS</v>
          </cell>
          <cell r="C2" t="str">
            <v>PB31</v>
          </cell>
          <cell r="D2" t="str">
            <v>PC00</v>
          </cell>
          <cell r="E2" t="str">
            <v>PC03</v>
          </cell>
          <cell r="F2" t="str">
            <v>PC05</v>
          </cell>
          <cell r="G2" t="str">
            <v>PC07</v>
          </cell>
          <cell r="H2" t="str">
            <v>PC18</v>
          </cell>
          <cell r="I2" t="str">
            <v>PC20</v>
          </cell>
          <cell r="J2" t="str">
            <v>PC23</v>
          </cell>
          <cell r="K2" t="str">
            <v>PC25</v>
          </cell>
          <cell r="L2" t="str">
            <v>PC27</v>
          </cell>
          <cell r="M2" t="str">
            <v>PC29</v>
          </cell>
          <cell r="N2" t="str">
            <v>PD14</v>
          </cell>
          <cell r="O2" t="str">
            <v>PD16</v>
          </cell>
          <cell r="P2" t="str">
            <v>PD18</v>
          </cell>
          <cell r="Q2" t="str">
            <v>PD20</v>
          </cell>
          <cell r="R2" t="str">
            <v>VSS</v>
          </cell>
          <cell r="U2">
            <v>206</v>
          </cell>
        </row>
        <row r="3">
          <cell r="B3" t="str">
            <v>PB30</v>
          </cell>
          <cell r="C3" t="str">
            <v>PB29</v>
          </cell>
          <cell r="D3" t="str">
            <v>PC01</v>
          </cell>
          <cell r="E3" t="str">
            <v>PC04</v>
          </cell>
          <cell r="F3" t="str">
            <v>PC06</v>
          </cell>
          <cell r="G3" t="str">
            <v>PC08</v>
          </cell>
          <cell r="H3" t="str">
            <v>PC19</v>
          </cell>
          <cell r="I3" t="str">
            <v>PC21</v>
          </cell>
          <cell r="J3" t="str">
            <v>PC24</v>
          </cell>
          <cell r="K3" t="str">
            <v>PC26</v>
          </cell>
          <cell r="L3" t="str">
            <v>PC28</v>
          </cell>
          <cell r="M3" t="str">
            <v>PC30</v>
          </cell>
          <cell r="N3" t="str">
            <v>PD15</v>
          </cell>
          <cell r="O3" t="str">
            <v>PD17</v>
          </cell>
          <cell r="P3" t="str">
            <v>PD19</v>
          </cell>
          <cell r="Q3" t="str">
            <v>PD21</v>
          </cell>
          <cell r="R3" t="str">
            <v>PD22</v>
          </cell>
          <cell r="U3">
            <v>53</v>
          </cell>
        </row>
        <row r="4">
          <cell r="B4" t="str">
            <v>PB28</v>
          </cell>
          <cell r="C4" t="str">
            <v>PB27</v>
          </cell>
          <cell r="D4" t="str">
            <v>PC02</v>
          </cell>
          <cell r="E4" t="str">
            <v>PC10</v>
          </cell>
          <cell r="F4" t="str">
            <v>PC12</v>
          </cell>
          <cell r="G4" t="str">
            <v>PC15</v>
          </cell>
          <cell r="H4" t="str">
            <v>VSS</v>
          </cell>
          <cell r="I4" t="str">
            <v>PC22</v>
          </cell>
          <cell r="J4" t="str">
            <v>PD04</v>
          </cell>
          <cell r="K4" t="str">
            <v>PD07</v>
          </cell>
          <cell r="L4" t="str">
            <v>VSS</v>
          </cell>
          <cell r="M4" t="str">
            <v>PC31</v>
          </cell>
          <cell r="N4" t="str">
            <v>PD23</v>
          </cell>
          <cell r="O4" t="str">
            <v>PD25</v>
          </cell>
          <cell r="P4" t="str">
            <v>PD26</v>
          </cell>
          <cell r="Q4" t="str">
            <v>PD28</v>
          </cell>
          <cell r="R4" t="str">
            <v>PD30</v>
          </cell>
        </row>
        <row r="5">
          <cell r="B5" t="str">
            <v>PB26</v>
          </cell>
          <cell r="C5" t="str">
            <v>PB25</v>
          </cell>
          <cell r="D5" t="str">
            <v>PC09</v>
          </cell>
          <cell r="E5" t="str">
            <v>VSS</v>
          </cell>
          <cell r="F5" t="str">
            <v>PC13</v>
          </cell>
          <cell r="G5" t="str">
            <v>PC16</v>
          </cell>
          <cell r="H5" t="str">
            <v>PD00</v>
          </cell>
          <cell r="I5" t="str">
            <v>PD02</v>
          </cell>
          <cell r="J5" t="str">
            <v>PD05</v>
          </cell>
          <cell r="K5" t="str">
            <v>PD08</v>
          </cell>
          <cell r="L5" t="str">
            <v>PD10</v>
          </cell>
          <cell r="M5" t="str">
            <v>PD12</v>
          </cell>
          <cell r="N5" t="str">
            <v>PD24</v>
          </cell>
          <cell r="O5" t="str">
            <v>VSS</v>
          </cell>
          <cell r="P5" t="str">
            <v>PD27</v>
          </cell>
          <cell r="Q5" t="str">
            <v>PD29</v>
          </cell>
          <cell r="R5" t="str">
            <v>PD31</v>
          </cell>
        </row>
        <row r="6">
          <cell r="B6" t="str">
            <v>PB24</v>
          </cell>
          <cell r="C6" t="str">
            <v>PB22</v>
          </cell>
          <cell r="D6" t="str">
            <v>PB23</v>
          </cell>
          <cell r="E6" t="str">
            <v>PC11</v>
          </cell>
          <cell r="F6" t="str">
            <v>PC14</v>
          </cell>
          <cell r="G6" t="str">
            <v>PC17</v>
          </cell>
          <cell r="H6" t="str">
            <v>PD01</v>
          </cell>
          <cell r="I6" t="str">
            <v>PD03</v>
          </cell>
          <cell r="J6" t="str">
            <v>PD06</v>
          </cell>
          <cell r="K6" t="str">
            <v>PD09</v>
          </cell>
          <cell r="L6" t="str">
            <v>PD11</v>
          </cell>
          <cell r="M6" t="str">
            <v>PD13</v>
          </cell>
          <cell r="N6" t="str">
            <v>PE09</v>
          </cell>
          <cell r="O6" t="str">
            <v>PE08</v>
          </cell>
          <cell r="P6" t="str">
            <v>PE02</v>
          </cell>
          <cell r="Q6" t="str">
            <v>PE01</v>
          </cell>
          <cell r="R6" t="str">
            <v>PE00</v>
          </cell>
        </row>
        <row r="7">
          <cell r="B7" t="str">
            <v>PB19</v>
          </cell>
          <cell r="C7" t="str">
            <v>PB20</v>
          </cell>
          <cell r="D7" t="str">
            <v>PB21</v>
          </cell>
          <cell r="E7" t="str">
            <v>PB10</v>
          </cell>
          <cell r="F7" t="str">
            <v>PB11</v>
          </cell>
          <cell r="G7" t="str">
            <v>VDD_SOC</v>
          </cell>
          <cell r="H7" t="str">
            <v>VIO_B05</v>
          </cell>
          <cell r="I7" t="str">
            <v>VIO_B06</v>
          </cell>
          <cell r="J7" t="str">
            <v>VIO_B07</v>
          </cell>
          <cell r="K7" t="str">
            <v>VIO_B08</v>
          </cell>
          <cell r="L7" t="str">
            <v>VIO_B09</v>
          </cell>
          <cell r="M7" t="str">
            <v>VDD_SOC</v>
          </cell>
          <cell r="N7" t="str">
            <v>PE11</v>
          </cell>
          <cell r="O7" t="str">
            <v>PE10</v>
          </cell>
          <cell r="P7" t="str">
            <v>PE05</v>
          </cell>
          <cell r="Q7" t="str">
            <v>PE04</v>
          </cell>
          <cell r="R7" t="str">
            <v>PE03</v>
          </cell>
        </row>
        <row r="8">
          <cell r="B8" t="str">
            <v>PB17</v>
          </cell>
          <cell r="C8" t="str">
            <v>PB18</v>
          </cell>
          <cell r="D8" t="str">
            <v>VSS</v>
          </cell>
          <cell r="E8" t="str">
            <v>PB08</v>
          </cell>
          <cell r="F8" t="str">
            <v>PB09</v>
          </cell>
          <cell r="G8" t="str">
            <v>VIO_B04</v>
          </cell>
          <cell r="H8" t="str">
            <v>VDD_SOC</v>
          </cell>
          <cell r="I8" t="str">
            <v>VSS</v>
          </cell>
          <cell r="J8" t="str">
            <v>VSS</v>
          </cell>
          <cell r="K8" t="str">
            <v>VSS</v>
          </cell>
          <cell r="L8" t="str">
            <v>VDD_SOC</v>
          </cell>
          <cell r="M8" t="str">
            <v>VPLL
VUSB</v>
          </cell>
          <cell r="N8" t="str">
            <v>PE13</v>
          </cell>
          <cell r="O8" t="str">
            <v>PE12</v>
          </cell>
          <cell r="P8" t="str">
            <v>VSS</v>
          </cell>
          <cell r="Q8" t="str">
            <v>PE07</v>
          </cell>
          <cell r="R8" t="str">
            <v>PE06</v>
          </cell>
        </row>
        <row r="9">
          <cell r="B9" t="str">
            <v>PB14</v>
          </cell>
          <cell r="C9" t="str">
            <v>PB15</v>
          </cell>
          <cell r="D9" t="str">
            <v>PB16</v>
          </cell>
          <cell r="E9" t="str">
            <v>PB06</v>
          </cell>
          <cell r="F9" t="str">
            <v>PB07</v>
          </cell>
          <cell r="G9" t="str">
            <v>VIO_B03</v>
          </cell>
          <cell r="H9" t="str">
            <v>VSS</v>
          </cell>
          <cell r="I9" t="str">
            <v>VDD_SOC</v>
          </cell>
          <cell r="J9" t="str">
            <v>VSS</v>
          </cell>
          <cell r="K9" t="str">
            <v>VDD_SOC</v>
          </cell>
          <cell r="L9" t="str">
            <v>VSS</v>
          </cell>
          <cell r="M9" t="str">
            <v>USB0_VBUS</v>
          </cell>
          <cell r="N9" t="str">
            <v>PE16</v>
          </cell>
          <cell r="O9" t="str">
            <v>PE15</v>
          </cell>
          <cell r="P9" t="str">
            <v>PE14</v>
          </cell>
          <cell r="Q9" t="str">
            <v>XTALO</v>
          </cell>
          <cell r="R9" t="str">
            <v>XTALI</v>
          </cell>
        </row>
        <row r="10">
          <cell r="B10" t="str">
            <v>PB12</v>
          </cell>
          <cell r="C10" t="str">
            <v>PB13</v>
          </cell>
          <cell r="D10" t="str">
            <v>PB03</v>
          </cell>
          <cell r="E10" t="str">
            <v>PB04</v>
          </cell>
          <cell r="F10" t="str">
            <v>PB05</v>
          </cell>
          <cell r="G10" t="str">
            <v>VIO_B02</v>
          </cell>
          <cell r="H10" t="str">
            <v>VSS</v>
          </cell>
          <cell r="I10" t="str">
            <v>VSS</v>
          </cell>
          <cell r="J10" t="str">
            <v>VDD_SOC</v>
          </cell>
          <cell r="K10" t="str">
            <v>VSS</v>
          </cell>
          <cell r="L10" t="str">
            <v>VSS</v>
          </cell>
          <cell r="M10" t="str">
            <v>VIO_B10</v>
          </cell>
          <cell r="N10" t="str">
            <v>PE19</v>
          </cell>
          <cell r="O10" t="str">
            <v>PE18</v>
          </cell>
          <cell r="P10" t="str">
            <v>PE17</v>
          </cell>
          <cell r="Q10" t="str">
            <v>USB0_DP</v>
          </cell>
          <cell r="R10" t="str">
            <v>USB0_DN</v>
          </cell>
        </row>
        <row r="11">
          <cell r="B11" t="str">
            <v>PA22</v>
          </cell>
          <cell r="C11" t="str">
            <v>PA23</v>
          </cell>
          <cell r="D11" t="str">
            <v>PB00</v>
          </cell>
          <cell r="E11" t="str">
            <v>PB01</v>
          </cell>
          <cell r="F11" t="str">
            <v>PB02</v>
          </cell>
          <cell r="G11" t="str">
            <v>VIO_B01</v>
          </cell>
          <cell r="H11" t="str">
            <v>VSS</v>
          </cell>
          <cell r="I11" t="str">
            <v>VDD_SOC</v>
          </cell>
          <cell r="J11" t="str">
            <v>VSS</v>
          </cell>
          <cell r="K11" t="str">
            <v>VDD_SOC</v>
          </cell>
          <cell r="L11" t="str">
            <v>VSS</v>
          </cell>
          <cell r="M11" t="str">
            <v>VIO_B11</v>
          </cell>
          <cell r="N11" t="str">
            <v>PE27</v>
          </cell>
          <cell r="O11" t="str">
            <v>PE26</v>
          </cell>
          <cell r="P11" t="str">
            <v>PE22</v>
          </cell>
          <cell r="Q11" t="str">
            <v>PE21</v>
          </cell>
          <cell r="R11" t="str">
            <v>PE20</v>
          </cell>
        </row>
        <row r="12">
          <cell r="B12" t="str">
            <v>PA20</v>
          </cell>
          <cell r="C12" t="str">
            <v>PA21</v>
          </cell>
          <cell r="D12" t="str">
            <v>VSS</v>
          </cell>
          <cell r="E12" t="str">
            <v>PA30</v>
          </cell>
          <cell r="F12" t="str">
            <v>PA31</v>
          </cell>
          <cell r="G12" t="str">
            <v>VDD_PHY1CAP</v>
          </cell>
          <cell r="H12" t="str">
            <v>VDD_SOC</v>
          </cell>
          <cell r="I12" t="str">
            <v>VSS</v>
          </cell>
          <cell r="J12" t="str">
            <v>VREFL</v>
          </cell>
          <cell r="K12" t="str">
            <v>VSSA</v>
          </cell>
          <cell r="L12" t="str">
            <v>VDD_SOC</v>
          </cell>
          <cell r="M12" t="str">
            <v>VIO_B12</v>
          </cell>
          <cell r="N12" t="str">
            <v>PE29</v>
          </cell>
          <cell r="O12" t="str">
            <v>PE28</v>
          </cell>
          <cell r="P12" t="str">
            <v>VSS</v>
          </cell>
          <cell r="Q12" t="str">
            <v>PE24</v>
          </cell>
          <cell r="R12" t="str">
            <v>PE23</v>
          </cell>
        </row>
        <row r="13">
          <cell r="B13" t="str">
            <v>PA18</v>
          </cell>
          <cell r="C13" t="str">
            <v>PA19</v>
          </cell>
          <cell r="D13" t="str">
            <v>PA27</v>
          </cell>
          <cell r="E13" t="str">
            <v>PA28</v>
          </cell>
          <cell r="F13" t="str">
            <v>PA29</v>
          </cell>
          <cell r="G13" t="str">
            <v>DCDC_SNS</v>
          </cell>
          <cell r="H13" t="str">
            <v>VDD_PHY0CAP</v>
          </cell>
          <cell r="I13" t="str">
            <v>VDD_OTPCAP</v>
          </cell>
          <cell r="J13" t="str">
            <v>VDD_PMCCAP</v>
          </cell>
          <cell r="K13" t="str">
            <v>VREFH</v>
          </cell>
          <cell r="L13" t="str">
            <v>VANA</v>
          </cell>
          <cell r="M13" t="str">
            <v>VDD_USB</v>
          </cell>
          <cell r="N13" t="str">
            <v>PE31</v>
          </cell>
          <cell r="O13" t="str">
            <v>PE30</v>
          </cell>
          <cell r="P13" t="str">
            <v>PE25</v>
          </cell>
          <cell r="Q13" t="str">
            <v>PF13</v>
          </cell>
          <cell r="R13" t="str">
            <v>PF10</v>
          </cell>
        </row>
        <row r="14">
          <cell r="B14" t="str">
            <v>PA16</v>
          </cell>
          <cell r="C14" t="str">
            <v>PA17</v>
          </cell>
          <cell r="D14" t="str">
            <v>PA24</v>
          </cell>
          <cell r="E14" t="str">
            <v>PA25</v>
          </cell>
          <cell r="F14" t="str">
            <v>PA26</v>
          </cell>
          <cell r="G14" t="str">
            <v>PY07</v>
          </cell>
          <cell r="H14" t="str">
            <v>PY05</v>
          </cell>
          <cell r="I14" t="str">
            <v>PY03</v>
          </cell>
          <cell r="J14" t="str">
            <v>PZ05</v>
          </cell>
          <cell r="K14" t="str">
            <v>PZ04</v>
          </cell>
          <cell r="L14" t="str">
            <v>PF30</v>
          </cell>
          <cell r="M14" t="str">
            <v>PF29</v>
          </cell>
          <cell r="N14" t="str">
            <v>PF27</v>
          </cell>
          <cell r="O14" t="str">
            <v>PF25</v>
          </cell>
          <cell r="P14" t="str">
            <v>PF15</v>
          </cell>
          <cell r="Q14" t="str">
            <v>PF12</v>
          </cell>
          <cell r="R14" t="str">
            <v>PF09</v>
          </cell>
        </row>
        <row r="15">
          <cell r="B15" t="str">
            <v>PA05</v>
          </cell>
          <cell r="C15" t="str">
            <v>PA06</v>
          </cell>
          <cell r="D15" t="str">
            <v>PA07</v>
          </cell>
          <cell r="E15" t="str">
            <v>VSS</v>
          </cell>
          <cell r="F15" t="str">
            <v>PA15</v>
          </cell>
          <cell r="G15" t="str">
            <v>PY06</v>
          </cell>
          <cell r="H15" t="str">
            <v>PY04</v>
          </cell>
          <cell r="I15" t="str">
            <v>PY02</v>
          </cell>
          <cell r="J15" t="str">
            <v>PZ03</v>
          </cell>
          <cell r="K15" t="str">
            <v>PZ01</v>
          </cell>
          <cell r="L15" t="str">
            <v>PF31</v>
          </cell>
          <cell r="M15" t="str">
            <v>PF28</v>
          </cell>
          <cell r="N15" t="str">
            <v>PF26</v>
          </cell>
          <cell r="O15" t="str">
            <v>VSS</v>
          </cell>
          <cell r="P15" t="str">
            <v>PF14</v>
          </cell>
          <cell r="Q15" t="str">
            <v>PF11</v>
          </cell>
          <cell r="R15" t="str">
            <v>PF08</v>
          </cell>
        </row>
        <row r="16">
          <cell r="B16" t="str">
            <v>PA03</v>
          </cell>
          <cell r="C16" t="str">
            <v>PA04</v>
          </cell>
          <cell r="D16" t="str">
            <v>PA12</v>
          </cell>
          <cell r="E16" t="str">
            <v>PA13</v>
          </cell>
          <cell r="F16" t="str">
            <v>PA14</v>
          </cell>
          <cell r="G16" t="str">
            <v>DCDC_GND</v>
          </cell>
          <cell r="H16" t="str">
            <v>VSS</v>
          </cell>
          <cell r="I16" t="str">
            <v>PY01</v>
          </cell>
          <cell r="J16" t="str">
            <v>PZ02</v>
          </cell>
          <cell r="K16" t="str">
            <v>PZ00</v>
          </cell>
          <cell r="L16" t="str">
            <v>VSS</v>
          </cell>
          <cell r="M16" t="str">
            <v>PF23</v>
          </cell>
          <cell r="N16" t="str">
            <v>PF20</v>
          </cell>
          <cell r="O16" t="str">
            <v>PF24</v>
          </cell>
          <cell r="P16" t="str">
            <v>PF07</v>
          </cell>
          <cell r="Q16" t="str">
            <v>PF04</v>
          </cell>
          <cell r="R16" t="str">
            <v>PF01</v>
          </cell>
        </row>
        <row r="17">
          <cell r="B17" t="str">
            <v>PA01</v>
          </cell>
          <cell r="C17" t="str">
            <v>PA02</v>
          </cell>
          <cell r="D17" t="str">
            <v>PA10</v>
          </cell>
          <cell r="E17" t="str">
            <v>PA11</v>
          </cell>
          <cell r="F17" t="str">
            <v>DCDC_IN</v>
          </cell>
          <cell r="G17" t="str">
            <v>DCDC_GND</v>
          </cell>
          <cell r="H17" t="str">
            <v>DCDC_LP</v>
          </cell>
          <cell r="I17" t="str">
            <v>PY00</v>
          </cell>
          <cell r="J17" t="str">
            <v>WKUP</v>
          </cell>
          <cell r="K17" t="str">
            <v>VBAT</v>
          </cell>
          <cell r="L17" t="str">
            <v>RTC_XO</v>
          </cell>
          <cell r="M17" t="str">
            <v>PF22</v>
          </cell>
          <cell r="N17" t="str">
            <v>PF19</v>
          </cell>
          <cell r="O17" t="str">
            <v>PF17</v>
          </cell>
          <cell r="P17" t="str">
            <v>PF06</v>
          </cell>
          <cell r="Q17" t="str">
            <v>PF03</v>
          </cell>
          <cell r="R17" t="str">
            <v>PF00</v>
          </cell>
        </row>
        <row r="18">
          <cell r="B18" t="str">
            <v>VSS</v>
          </cell>
          <cell r="C18" t="str">
            <v>PA00</v>
          </cell>
          <cell r="D18" t="str">
            <v>PA08</v>
          </cell>
          <cell r="E18" t="str">
            <v>PA09</v>
          </cell>
          <cell r="F18" t="str">
            <v>DCDC_IN</v>
          </cell>
          <cell r="G18" t="str">
            <v>DCDC_GND</v>
          </cell>
          <cell r="H18" t="str">
            <v>DCDC_LP</v>
          </cell>
          <cell r="I18" t="str">
            <v>DCDC_LP</v>
          </cell>
          <cell r="J18" t="str">
            <v>RSTN</v>
          </cell>
          <cell r="K18" t="str">
            <v>VPMC</v>
          </cell>
          <cell r="L18" t="str">
            <v>RTC_XI</v>
          </cell>
          <cell r="M18" t="str">
            <v>PF21</v>
          </cell>
          <cell r="N18" t="str">
            <v>PF18</v>
          </cell>
          <cell r="O18" t="str">
            <v>PF16</v>
          </cell>
          <cell r="P18" t="str">
            <v>PF05</v>
          </cell>
          <cell r="Q18" t="str">
            <v>PF02</v>
          </cell>
          <cell r="R18" t="str">
            <v>VSS</v>
          </cell>
        </row>
        <row r="20">
          <cell r="F20" t="str">
            <v>PX00</v>
          </cell>
          <cell r="G20" t="str">
            <v>PX02</v>
          </cell>
          <cell r="H20" t="str">
            <v>PX04</v>
          </cell>
          <cell r="I20" t="str">
            <v>PX06</v>
          </cell>
        </row>
        <row r="21">
          <cell r="F21" t="str">
            <v>PX01</v>
          </cell>
          <cell r="G21" t="str">
            <v>PX03</v>
          </cell>
          <cell r="H21" t="str">
            <v>PX05</v>
          </cell>
          <cell r="I21" t="str">
            <v>PX07</v>
          </cell>
        </row>
        <row r="24">
          <cell r="B24" t="str">
            <v>PV14</v>
          </cell>
          <cell r="C24" t="str">
            <v>PV15</v>
          </cell>
          <cell r="D24" t="str">
            <v>PW14</v>
          </cell>
          <cell r="E24" t="str">
            <v>PW15</v>
          </cell>
        </row>
        <row r="25">
          <cell r="B25" t="str">
            <v>PV12</v>
          </cell>
          <cell r="C25" t="str">
            <v>PV13</v>
          </cell>
          <cell r="D25" t="str">
            <v>PW12</v>
          </cell>
          <cell r="E25" t="str">
            <v>PW13</v>
          </cell>
        </row>
        <row r="26">
          <cell r="B26" t="str">
            <v>PV10</v>
          </cell>
          <cell r="C26" t="str">
            <v>PV11</v>
          </cell>
          <cell r="D26" t="str">
            <v>PW10</v>
          </cell>
          <cell r="E26" t="str">
            <v>PW11</v>
          </cell>
        </row>
        <row r="27">
          <cell r="B27" t="str">
            <v>PV08</v>
          </cell>
          <cell r="C27" t="str">
            <v>PV09</v>
          </cell>
          <cell r="D27" t="str">
            <v>PW08</v>
          </cell>
          <cell r="E27" t="str">
            <v>PW09</v>
          </cell>
        </row>
        <row r="28">
          <cell r="B28" t="str">
            <v>PV06</v>
          </cell>
          <cell r="C28" t="str">
            <v>PV07</v>
          </cell>
          <cell r="D28" t="str">
            <v>PW06</v>
          </cell>
          <cell r="E28" t="str">
            <v>PW07</v>
          </cell>
          <cell r="F28" t="str">
            <v>PW22</v>
          </cell>
          <cell r="G28" t="str">
            <v>PW23</v>
          </cell>
        </row>
        <row r="29">
          <cell r="B29" t="str">
            <v>PV04</v>
          </cell>
          <cell r="C29" t="str">
            <v>PV05</v>
          </cell>
          <cell r="D29" t="str">
            <v>PW04</v>
          </cell>
          <cell r="E29" t="str">
            <v>PW05</v>
          </cell>
          <cell r="F29" t="str">
            <v>PW20</v>
          </cell>
          <cell r="G29" t="str">
            <v>PW21</v>
          </cell>
        </row>
        <row r="30">
          <cell r="B30" t="str">
            <v>PV02</v>
          </cell>
          <cell r="C30" t="str">
            <v>PV03</v>
          </cell>
          <cell r="D30" t="str">
            <v>PW02</v>
          </cell>
          <cell r="E30" t="str">
            <v>PW03</v>
          </cell>
          <cell r="F30" t="str">
            <v>PW18</v>
          </cell>
          <cell r="G30" t="str">
            <v>PW19</v>
          </cell>
        </row>
        <row r="31">
          <cell r="B31" t="str">
            <v>PV00</v>
          </cell>
          <cell r="C31" t="str">
            <v>PV01</v>
          </cell>
          <cell r="D31" t="str">
            <v>PW00</v>
          </cell>
          <cell r="E31" t="str">
            <v>PW01</v>
          </cell>
          <cell r="F31" t="str">
            <v>PW16</v>
          </cell>
          <cell r="G31" t="str">
            <v>PW17</v>
          </cell>
        </row>
        <row r="33">
          <cell r="B33" t="str">
            <v>PY15</v>
          </cell>
          <cell r="C33" t="str">
            <v>PY13</v>
          </cell>
          <cell r="D33" t="str">
            <v>PY11</v>
          </cell>
          <cell r="E33" t="str">
            <v>PY09</v>
          </cell>
          <cell r="K33" t="str">
            <v>AN01</v>
          </cell>
          <cell r="L33" t="str">
            <v>AN02</v>
          </cell>
          <cell r="M33" t="str">
            <v>AN07</v>
          </cell>
          <cell r="N33" t="str">
            <v>AN09</v>
          </cell>
          <cell r="O33" t="str">
            <v>AN11</v>
          </cell>
          <cell r="P33" t="str">
            <v>AN05</v>
          </cell>
          <cell r="Q33" t="str">
            <v>AN13</v>
          </cell>
          <cell r="R33" t="str">
            <v>AN15</v>
          </cell>
        </row>
        <row r="34">
          <cell r="B34" t="str">
            <v>PY14</v>
          </cell>
          <cell r="C34" t="str">
            <v>PY12</v>
          </cell>
          <cell r="D34" t="str">
            <v>PY10</v>
          </cell>
          <cell r="E34" t="str">
            <v>PY08</v>
          </cell>
          <cell r="K34" t="str">
            <v>AN00</v>
          </cell>
          <cell r="L34" t="str">
            <v>AN03</v>
          </cell>
          <cell r="M34" t="str">
            <v>AN06</v>
          </cell>
          <cell r="N34" t="str">
            <v>AN08</v>
          </cell>
          <cell r="O34" t="str">
            <v>AN10</v>
          </cell>
          <cell r="P34" t="str">
            <v>AN04</v>
          </cell>
          <cell r="Q34" t="str">
            <v>AN12</v>
          </cell>
          <cell r="R34" t="str">
            <v>AN14</v>
          </cell>
        </row>
        <row r="35">
          <cell r="B35" t="str">
            <v>PZ15</v>
          </cell>
          <cell r="C35" t="str">
            <v>PZ13</v>
          </cell>
          <cell r="D35" t="str">
            <v>PZ11</v>
          </cell>
          <cell r="E35" t="str">
            <v>PZ09</v>
          </cell>
          <cell r="F35" t="str">
            <v>PZ07</v>
          </cell>
          <cell r="K35" t="str">
            <v>AN17</v>
          </cell>
          <cell r="L35" t="str">
            <v>AN19</v>
          </cell>
          <cell r="M35" t="str">
            <v>AN23</v>
          </cell>
          <cell r="N35" t="str">
            <v>AN25</v>
          </cell>
          <cell r="O35" t="str">
            <v>AN27</v>
          </cell>
          <cell r="P35" t="str">
            <v>AN21</v>
          </cell>
          <cell r="Q35" t="str">
            <v>AN29</v>
          </cell>
          <cell r="R35" t="str">
            <v>AN31</v>
          </cell>
        </row>
        <row r="36">
          <cell r="B36" t="str">
            <v>PZ14</v>
          </cell>
          <cell r="C36" t="str">
            <v>PZ12</v>
          </cell>
          <cell r="D36" t="str">
            <v>PZ10</v>
          </cell>
          <cell r="E36" t="str">
            <v>PZ08</v>
          </cell>
          <cell r="F36" t="str">
            <v>PZ06</v>
          </cell>
          <cell r="K36" t="str">
            <v>AN16</v>
          </cell>
          <cell r="L36" t="str">
            <v>AN18</v>
          </cell>
          <cell r="M36" t="str">
            <v>AN22</v>
          </cell>
          <cell r="N36" t="str">
            <v>AN24</v>
          </cell>
          <cell r="O36" t="str">
            <v>AN26</v>
          </cell>
          <cell r="P36" t="str">
            <v>AN20</v>
          </cell>
          <cell r="Q36" t="str">
            <v>AN28</v>
          </cell>
          <cell r="R36" t="str">
            <v>AN30</v>
          </cell>
        </row>
      </sheetData>
      <sheetData sheetId="7">
        <row r="1">
          <cell r="B1">
            <v>1</v>
          </cell>
        </row>
        <row r="2">
          <cell r="A2" t="str">
            <v>A</v>
          </cell>
          <cell r="B2" t="str">
            <v>VSS</v>
          </cell>
          <cell r="C2" t="str">
            <v>PB31</v>
          </cell>
          <cell r="D2" t="str">
            <v>PC00</v>
          </cell>
          <cell r="E2" t="str">
            <v>PC03</v>
          </cell>
          <cell r="F2" t="str">
            <v>PC05</v>
          </cell>
          <cell r="G2" t="str">
            <v>PC07</v>
          </cell>
          <cell r="H2" t="str">
            <v>PC18</v>
          </cell>
          <cell r="I2" t="str">
            <v>PC20</v>
          </cell>
          <cell r="J2" t="str">
            <v>PC23</v>
          </cell>
          <cell r="K2" t="str">
            <v>PC25</v>
          </cell>
          <cell r="L2" t="str">
            <v>PC27</v>
          </cell>
          <cell r="M2" t="str">
            <v>PC29</v>
          </cell>
          <cell r="N2" t="str">
            <v>PD14</v>
          </cell>
          <cell r="O2" t="str">
            <v>PD16</v>
          </cell>
          <cell r="P2" t="str">
            <v>PD18</v>
          </cell>
          <cell r="Q2" t="str">
            <v>PD20</v>
          </cell>
          <cell r="R2" t="str">
            <v>VSS</v>
          </cell>
          <cell r="Y2" t="str">
            <v>VSS</v>
          </cell>
          <cell r="Z2" t="str">
            <v>PC18</v>
          </cell>
          <cell r="AA2" t="str">
            <v>PC20</v>
          </cell>
          <cell r="AB2" t="str">
            <v>PC23</v>
          </cell>
          <cell r="AC2" t="str">
            <v>PC25</v>
          </cell>
        </row>
        <row r="3">
          <cell r="B3" t="str">
            <v>PB29</v>
          </cell>
          <cell r="C3" t="str">
            <v>PB30</v>
          </cell>
          <cell r="D3" t="str">
            <v>PC01</v>
          </cell>
          <cell r="E3" t="str">
            <v>PC04</v>
          </cell>
          <cell r="F3" t="str">
            <v>PC06</v>
          </cell>
          <cell r="G3" t="str">
            <v>PC08</v>
          </cell>
          <cell r="H3" t="str">
            <v>PC19</v>
          </cell>
          <cell r="I3" t="str">
            <v>PC21</v>
          </cell>
          <cell r="J3" t="str">
            <v>PC24</v>
          </cell>
          <cell r="K3" t="str">
            <v>PC26</v>
          </cell>
          <cell r="L3" t="str">
            <v>PC28</v>
          </cell>
          <cell r="M3" t="str">
            <v>PC30</v>
          </cell>
          <cell r="N3" t="str">
            <v>PD15</v>
          </cell>
          <cell r="O3" t="str">
            <v>PD17</v>
          </cell>
          <cell r="P3" t="str">
            <v>PD19</v>
          </cell>
          <cell r="Q3" t="str">
            <v>PD21</v>
          </cell>
          <cell r="R3" t="str">
            <v>PD22</v>
          </cell>
          <cell r="Y3" t="str">
            <v>PC22</v>
          </cell>
          <cell r="Z3" t="str">
            <v>PC19</v>
          </cell>
          <cell r="AA3" t="str">
            <v>PC21</v>
          </cell>
          <cell r="AB3" t="str">
            <v>PC24</v>
          </cell>
          <cell r="AC3" t="str">
            <v>PC26</v>
          </cell>
        </row>
        <row r="4">
          <cell r="B4" t="str">
            <v>PB27</v>
          </cell>
          <cell r="C4" t="str">
            <v>PB28</v>
          </cell>
          <cell r="D4" t="str">
            <v>PC02</v>
          </cell>
          <cell r="E4" t="str">
            <v>PC10</v>
          </cell>
          <cell r="F4" t="str">
            <v>PC12</v>
          </cell>
          <cell r="G4" t="str">
            <v>PC15</v>
          </cell>
          <cell r="H4" t="str">
            <v>VSS</v>
          </cell>
          <cell r="I4" t="str">
            <v>PC22</v>
          </cell>
          <cell r="J4" t="str">
            <v>PD04</v>
          </cell>
          <cell r="K4" t="str">
            <v>PD07</v>
          </cell>
          <cell r="L4" t="str">
            <v>VSS</v>
          </cell>
          <cell r="M4" t="str">
            <v>PC31</v>
          </cell>
          <cell r="N4" t="str">
            <v>PD23</v>
          </cell>
          <cell r="O4" t="str">
            <v>PD25</v>
          </cell>
          <cell r="P4" t="str">
            <v>PD26</v>
          </cell>
          <cell r="Q4" t="str">
            <v>PD28</v>
          </cell>
          <cell r="R4" t="str">
            <v>PD30</v>
          </cell>
          <cell r="Y4" t="str">
            <v>PD01</v>
          </cell>
          <cell r="Z4" t="str">
            <v>PD03</v>
          </cell>
          <cell r="AA4" t="str">
            <v>PD00</v>
          </cell>
          <cell r="AB4" t="str">
            <v>PD02</v>
          </cell>
          <cell r="AC4" t="str">
            <v>PD05</v>
          </cell>
        </row>
        <row r="5">
          <cell r="B5" t="str">
            <v>PB25</v>
          </cell>
          <cell r="C5" t="str">
            <v>PB26</v>
          </cell>
          <cell r="D5" t="str">
            <v>PC09</v>
          </cell>
          <cell r="E5" t="str">
            <v>VSS</v>
          </cell>
          <cell r="F5" t="str">
            <v>PC13</v>
          </cell>
          <cell r="G5" t="str">
            <v>PC16</v>
          </cell>
          <cell r="H5" t="str">
            <v>PD00</v>
          </cell>
          <cell r="I5" t="str">
            <v>PD02</v>
          </cell>
          <cell r="J5" t="str">
            <v>PD05</v>
          </cell>
          <cell r="K5" t="str">
            <v>PD08</v>
          </cell>
          <cell r="L5" t="str">
            <v>PD10</v>
          </cell>
          <cell r="M5" t="str">
            <v>PD12</v>
          </cell>
          <cell r="N5" t="str">
            <v>PD24</v>
          </cell>
          <cell r="O5" t="str">
            <v>VSS</v>
          </cell>
          <cell r="P5" t="str">
            <v>PD27</v>
          </cell>
          <cell r="Q5" t="str">
            <v>PD29</v>
          </cell>
          <cell r="R5" t="str">
            <v>PD31</v>
          </cell>
          <cell r="AA5" t="str">
            <v>PB10</v>
          </cell>
          <cell r="AB5" t="str">
            <v>PB11</v>
          </cell>
          <cell r="AC5" t="str">
            <v>PD06</v>
          </cell>
        </row>
        <row r="6">
          <cell r="B6" t="str">
            <v>PB24</v>
          </cell>
          <cell r="C6" t="str">
            <v>PB22</v>
          </cell>
          <cell r="D6" t="str">
            <v>PB23</v>
          </cell>
          <cell r="E6" t="str">
            <v>PC11</v>
          </cell>
          <cell r="F6" t="str">
            <v>PC14</v>
          </cell>
          <cell r="G6" t="str">
            <v>PC17</v>
          </cell>
          <cell r="H6" t="str">
            <v>PD01</v>
          </cell>
          <cell r="I6" t="str">
            <v>PD03</v>
          </cell>
          <cell r="J6" t="str">
            <v>PD06</v>
          </cell>
          <cell r="K6" t="str">
            <v>PD09</v>
          </cell>
          <cell r="L6" t="str">
            <v>PD11</v>
          </cell>
          <cell r="M6" t="str">
            <v>PD13</v>
          </cell>
          <cell r="N6" t="str">
            <v>PE09</v>
          </cell>
          <cell r="O6" t="str">
            <v>PE08</v>
          </cell>
          <cell r="P6" t="str">
            <v>PE02</v>
          </cell>
          <cell r="Q6" t="str">
            <v>PE01</v>
          </cell>
          <cell r="R6" t="str">
            <v>PE00</v>
          </cell>
          <cell r="Y6" t="str">
            <v>PB20</v>
          </cell>
          <cell r="Z6" t="str">
            <v>PB21</v>
          </cell>
          <cell r="AA6" t="str">
            <v>PB08</v>
          </cell>
          <cell r="AB6" t="str">
            <v>PB09</v>
          </cell>
          <cell r="AC6" t="str">
            <v>VIO_B01</v>
          </cell>
        </row>
        <row r="7">
          <cell r="B7" t="str">
            <v>PB19</v>
          </cell>
          <cell r="C7" t="str">
            <v>PB20</v>
          </cell>
          <cell r="D7" t="str">
            <v>PB21</v>
          </cell>
          <cell r="E7" t="str">
            <v>PB10</v>
          </cell>
          <cell r="F7" t="str">
            <v>PB11</v>
          </cell>
          <cell r="G7" t="str">
            <v>VDD_PHY1CAP</v>
          </cell>
          <cell r="H7" t="str">
            <v>VIO_B05</v>
          </cell>
          <cell r="I7" t="str">
            <v>VIO_B06</v>
          </cell>
          <cell r="J7" t="str">
            <v>VIO_B07</v>
          </cell>
          <cell r="K7" t="str">
            <v>VIO_B08</v>
          </cell>
          <cell r="L7" t="str">
            <v>VIO_B09</v>
          </cell>
          <cell r="M7" t="str">
            <v>VDD_SOC</v>
          </cell>
          <cell r="N7" t="str">
            <v>PE11</v>
          </cell>
          <cell r="O7" t="str">
            <v>PE10</v>
          </cell>
          <cell r="P7" t="str">
            <v>PE05</v>
          </cell>
          <cell r="Q7" t="str">
            <v>PE04</v>
          </cell>
          <cell r="R7" t="str">
            <v>PE03</v>
          </cell>
          <cell r="AA7" t="str">
            <v>PB06</v>
          </cell>
          <cell r="AB7" t="str">
            <v>PB07</v>
          </cell>
          <cell r="AC7" t="str">
            <v>VDD_SOC</v>
          </cell>
        </row>
        <row r="8">
          <cell r="B8" t="str">
            <v>PB17</v>
          </cell>
          <cell r="C8" t="str">
            <v>PB18</v>
          </cell>
          <cell r="D8" t="str">
            <v>VSS</v>
          </cell>
          <cell r="E8" t="str">
            <v>PB08</v>
          </cell>
          <cell r="F8" t="str">
            <v>PB09</v>
          </cell>
          <cell r="G8" t="str">
            <v>VIO_B04</v>
          </cell>
          <cell r="H8" t="str">
            <v>VDD_PHY0CAP</v>
          </cell>
          <cell r="I8" t="str">
            <v>VSS</v>
          </cell>
          <cell r="J8" t="str">
            <v>VSS</v>
          </cell>
          <cell r="K8" t="str">
            <v>VSS</v>
          </cell>
          <cell r="L8" t="str">
            <v>VDD_SOC</v>
          </cell>
          <cell r="M8" t="str">
            <v>VPLL
VUSB</v>
          </cell>
          <cell r="N8" t="str">
            <v>PE13</v>
          </cell>
          <cell r="O8" t="str">
            <v>PE12</v>
          </cell>
          <cell r="P8" t="str">
            <v>VSS</v>
          </cell>
          <cell r="Q8" t="str">
            <v>PE07</v>
          </cell>
          <cell r="R8" t="str">
            <v>PE06</v>
          </cell>
          <cell r="AA8" t="str">
            <v>PB04</v>
          </cell>
          <cell r="AB8" t="str">
            <v>PB05</v>
          </cell>
          <cell r="AC8" t="str">
            <v>VDD_SOC</v>
          </cell>
        </row>
        <row r="9">
          <cell r="B9" t="str">
            <v>PB14</v>
          </cell>
          <cell r="C9" t="str">
            <v>PB15</v>
          </cell>
          <cell r="D9" t="str">
            <v>PB16</v>
          </cell>
          <cell r="E9" t="str">
            <v>PB06</v>
          </cell>
          <cell r="F9" t="str">
            <v>PB07</v>
          </cell>
          <cell r="G9" t="str">
            <v>VIO_B03</v>
          </cell>
          <cell r="H9" t="str">
            <v>VSS</v>
          </cell>
          <cell r="I9" t="str">
            <v>VDD_SOC</v>
          </cell>
          <cell r="J9" t="str">
            <v>VSS</v>
          </cell>
          <cell r="K9" t="str">
            <v>VDD_SOC</v>
          </cell>
          <cell r="L9" t="str">
            <v>VSS</v>
          </cell>
          <cell r="M9" t="str">
            <v>USB0_VBUS</v>
          </cell>
          <cell r="N9" t="str">
            <v>PE16</v>
          </cell>
          <cell r="O9" t="str">
            <v>PE15</v>
          </cell>
          <cell r="P9" t="str">
            <v>PE14</v>
          </cell>
          <cell r="Q9" t="str">
            <v>XTAL_O</v>
          </cell>
          <cell r="R9" t="str">
            <v>XTAL_I</v>
          </cell>
          <cell r="AA9" t="str">
            <v>PB02</v>
          </cell>
          <cell r="AB9" t="str">
            <v>PB03</v>
          </cell>
          <cell r="AC9" t="str">
            <v>VDD_OTPCAP</v>
          </cell>
        </row>
        <row r="10">
          <cell r="B10" t="str">
            <v>PB12</v>
          </cell>
          <cell r="C10" t="str">
            <v>PB13</v>
          </cell>
          <cell r="D10" t="str">
            <v>PB03</v>
          </cell>
          <cell r="E10" t="str">
            <v>PB04</v>
          </cell>
          <cell r="F10" t="str">
            <v>PB05</v>
          </cell>
          <cell r="G10" t="str">
            <v>VDD_OTPCAP</v>
          </cell>
          <cell r="H10" t="str">
            <v>VSS</v>
          </cell>
          <cell r="I10" t="str">
            <v>VSS</v>
          </cell>
          <cell r="J10" t="str">
            <v>VDD_SOC</v>
          </cell>
          <cell r="K10" t="str">
            <v>VSS</v>
          </cell>
          <cell r="L10" t="str">
            <v>VSS</v>
          </cell>
          <cell r="M10" t="str">
            <v>VIO_B10</v>
          </cell>
          <cell r="N10" t="str">
            <v>PE19</v>
          </cell>
          <cell r="O10" t="str">
            <v>PE18</v>
          </cell>
          <cell r="P10" t="str">
            <v>PE17</v>
          </cell>
          <cell r="Q10" t="str">
            <v>USB0_DP</v>
          </cell>
          <cell r="R10" t="str">
            <v>USB0_DN</v>
          </cell>
          <cell r="Y10" t="str">
            <v>PB12</v>
          </cell>
          <cell r="Z10" t="str">
            <v>PB13</v>
          </cell>
          <cell r="AA10" t="str">
            <v>PB00</v>
          </cell>
          <cell r="AB10" t="str">
            <v>PB01</v>
          </cell>
          <cell r="AC10" t="str">
            <v>PA03</v>
          </cell>
        </row>
        <row r="11">
          <cell r="B11" t="str">
            <v>PA22</v>
          </cell>
          <cell r="C11" t="str">
            <v>PA23</v>
          </cell>
          <cell r="D11" t="str">
            <v>PB00</v>
          </cell>
          <cell r="E11" t="str">
            <v>PB01</v>
          </cell>
          <cell r="F11" t="str">
            <v>PB02</v>
          </cell>
          <cell r="G11" t="str">
            <v>VIO_B02</v>
          </cell>
          <cell r="H11" t="str">
            <v>VSS</v>
          </cell>
          <cell r="I11" t="str">
            <v>VDD_SOC</v>
          </cell>
          <cell r="J11" t="str">
            <v>VSS</v>
          </cell>
          <cell r="K11" t="str">
            <v>VDD_SOC</v>
          </cell>
          <cell r="L11" t="str">
            <v>VSS</v>
          </cell>
          <cell r="M11" t="str">
            <v>VIO_B11</v>
          </cell>
          <cell r="N11" t="str">
            <v>PE27</v>
          </cell>
          <cell r="O11" t="str">
            <v>PE26</v>
          </cell>
          <cell r="P11" t="str">
            <v>PE22</v>
          </cell>
          <cell r="Q11" t="str">
            <v>PE21</v>
          </cell>
          <cell r="R11" t="str">
            <v>PE20</v>
          </cell>
          <cell r="Y11" t="str">
            <v>PA22</v>
          </cell>
          <cell r="Z11" t="str">
            <v>PA23</v>
          </cell>
          <cell r="AA11" t="str">
            <v>PA30</v>
          </cell>
          <cell r="AB11" t="str">
            <v>PA31</v>
          </cell>
          <cell r="AC11" t="str">
            <v>PA00</v>
          </cell>
        </row>
        <row r="12">
          <cell r="B12" t="str">
            <v>PA20</v>
          </cell>
          <cell r="C12" t="str">
            <v>PA21</v>
          </cell>
          <cell r="D12" t="str">
            <v>VSS</v>
          </cell>
          <cell r="E12" t="str">
            <v>PA30</v>
          </cell>
          <cell r="F12" t="str">
            <v>PA31</v>
          </cell>
          <cell r="G12" t="str">
            <v>VIO_B13</v>
          </cell>
          <cell r="H12" t="str">
            <v>VDD_SOC</v>
          </cell>
          <cell r="I12" t="str">
            <v>VSS</v>
          </cell>
          <cell r="J12" t="str">
            <v>VREFL</v>
          </cell>
          <cell r="K12" t="str">
            <v>VSSA</v>
          </cell>
          <cell r="L12" t="str">
            <v>VDD_SOC</v>
          </cell>
          <cell r="M12" t="str">
            <v>VIO_B12</v>
          </cell>
          <cell r="N12" t="str">
            <v>PE29</v>
          </cell>
          <cell r="O12" t="str">
            <v>PE28</v>
          </cell>
          <cell r="P12" t="str">
            <v>VSS</v>
          </cell>
          <cell r="Q12" t="str">
            <v>PE24</v>
          </cell>
          <cell r="R12" t="str">
            <v>PE23</v>
          </cell>
          <cell r="Y12" t="str">
            <v>PA02</v>
          </cell>
          <cell r="Z12" t="str">
            <v>PA06</v>
          </cell>
          <cell r="AA12" t="str">
            <v>PA07</v>
          </cell>
          <cell r="AB12" t="str">
            <v>PA05</v>
          </cell>
          <cell r="AC12" t="str">
            <v>DCDC_IN</v>
          </cell>
        </row>
        <row r="13">
          <cell r="B13" t="str">
            <v>PA18</v>
          </cell>
          <cell r="C13" t="str">
            <v>PA19</v>
          </cell>
          <cell r="D13" t="str">
            <v>PA27</v>
          </cell>
          <cell r="E13" t="str">
            <v>PA28</v>
          </cell>
          <cell r="F13" t="str">
            <v>PA29</v>
          </cell>
          <cell r="G13" t="str">
            <v>DCDC_SNS</v>
          </cell>
          <cell r="H13" t="str">
            <v>VIO_B01</v>
          </cell>
          <cell r="I13" t="str">
            <v>VIO_B00</v>
          </cell>
          <cell r="J13" t="str">
            <v>VDD_PMCCAP</v>
          </cell>
          <cell r="K13" t="str">
            <v>VREFH</v>
          </cell>
          <cell r="L13" t="str">
            <v>VANA</v>
          </cell>
          <cell r="M13" t="str">
            <v>VDD_USB</v>
          </cell>
          <cell r="N13" t="str">
            <v>PE31</v>
          </cell>
          <cell r="O13" t="str">
            <v>PE30</v>
          </cell>
          <cell r="P13" t="str">
            <v>PE25</v>
          </cell>
          <cell r="Q13" t="str">
            <v>PF13</v>
          </cell>
          <cell r="R13" t="str">
            <v>PF10</v>
          </cell>
          <cell r="AA13" t="str">
            <v>PA08</v>
          </cell>
          <cell r="AB13" t="str">
            <v>PA04</v>
          </cell>
          <cell r="AC13" t="str">
            <v>DCDC_IN</v>
          </cell>
        </row>
        <row r="14">
          <cell r="B14" t="str">
            <v>PA16</v>
          </cell>
          <cell r="C14" t="str">
            <v>PA17</v>
          </cell>
          <cell r="D14" t="str">
            <v>PA24</v>
          </cell>
          <cell r="E14" t="str">
            <v>PA25</v>
          </cell>
          <cell r="F14" t="str">
            <v>PA26</v>
          </cell>
          <cell r="G14" t="str">
            <v>PY07</v>
          </cell>
          <cell r="H14" t="str">
            <v>PY05</v>
          </cell>
          <cell r="I14" t="str">
            <v>PY03</v>
          </cell>
          <cell r="J14" t="str">
            <v>PZ05</v>
          </cell>
          <cell r="K14" t="str">
            <v>PZ04</v>
          </cell>
          <cell r="L14" t="str">
            <v>PF30</v>
          </cell>
          <cell r="M14" t="str">
            <v>PF29</v>
          </cell>
          <cell r="N14" t="str">
            <v>PF27</v>
          </cell>
          <cell r="O14" t="str">
            <v>PF25</v>
          </cell>
          <cell r="P14" t="str">
            <v>PF15</v>
          </cell>
          <cell r="Q14" t="str">
            <v>PF12</v>
          </cell>
          <cell r="R14" t="str">
            <v>PF09</v>
          </cell>
        </row>
        <row r="15">
          <cell r="B15" t="str">
            <v>PA05</v>
          </cell>
          <cell r="C15" t="str">
            <v>PA06</v>
          </cell>
          <cell r="D15" t="str">
            <v>PA07</v>
          </cell>
          <cell r="E15" t="str">
            <v>VSS</v>
          </cell>
          <cell r="F15" t="str">
            <v>PA15</v>
          </cell>
          <cell r="G15" t="str">
            <v>PY06</v>
          </cell>
          <cell r="H15" t="str">
            <v>PY04</v>
          </cell>
          <cell r="I15" t="str">
            <v>PY02</v>
          </cell>
          <cell r="J15" t="str">
            <v>PZ03</v>
          </cell>
          <cell r="K15" t="str">
            <v>PZ01</v>
          </cell>
          <cell r="L15" t="str">
            <v>PF31</v>
          </cell>
          <cell r="M15" t="str">
            <v>PF28</v>
          </cell>
          <cell r="N15" t="str">
            <v>PF26</v>
          </cell>
          <cell r="O15" t="str">
            <v>VSS</v>
          </cell>
          <cell r="P15" t="str">
            <v>PF14</v>
          </cell>
          <cell r="Q15" t="str">
            <v>PF11</v>
          </cell>
          <cell r="R15" t="str">
            <v>PF08</v>
          </cell>
        </row>
        <row r="16">
          <cell r="B16" t="str">
            <v>PA03</v>
          </cell>
          <cell r="C16" t="str">
            <v>PA04</v>
          </cell>
          <cell r="D16" t="str">
            <v>PA12</v>
          </cell>
          <cell r="F16" t="str">
            <v>PA14</v>
          </cell>
          <cell r="G16" t="str">
            <v>DCDC_GND</v>
          </cell>
          <cell r="H16" t="str">
            <v>VSS</v>
          </cell>
          <cell r="I16" t="str">
            <v>PY01</v>
          </cell>
          <cell r="J16" t="str">
            <v>PZ02</v>
          </cell>
          <cell r="K16" t="str">
            <v>PZ00</v>
          </cell>
          <cell r="L16" t="str">
            <v>VSS</v>
          </cell>
          <cell r="M16" t="str">
            <v>PF23</v>
          </cell>
          <cell r="N16" t="str">
            <v>PF20</v>
          </cell>
          <cell r="O16" t="str">
            <v>PF24</v>
          </cell>
          <cell r="Q16" t="str">
            <v>PF04</v>
          </cell>
          <cell r="R16" t="str">
            <v>PF01</v>
          </cell>
        </row>
        <row r="17">
          <cell r="B17" t="str">
            <v>PA01</v>
          </cell>
          <cell r="C17" t="str">
            <v>PA02</v>
          </cell>
          <cell r="D17" t="str">
            <v>PA10</v>
          </cell>
          <cell r="F17" t="str">
            <v>DCDC_IN</v>
          </cell>
          <cell r="G17" t="str">
            <v>DCDC_GND</v>
          </cell>
          <cell r="H17" t="str">
            <v>DCDC_LP</v>
          </cell>
          <cell r="I17" t="str">
            <v>PY00</v>
          </cell>
          <cell r="J17" t="str">
            <v>WKUP</v>
          </cell>
          <cell r="K17" t="str">
            <v>VBAT</v>
          </cell>
          <cell r="L17" t="str">
            <v>RTC_XO</v>
          </cell>
          <cell r="M17" t="str">
            <v>PF22</v>
          </cell>
          <cell r="N17" t="str">
            <v>PF19</v>
          </cell>
          <cell r="O17" t="str">
            <v>PF17</v>
          </cell>
          <cell r="Q17" t="str">
            <v>PF03</v>
          </cell>
          <cell r="R17" t="str">
            <v>PF00</v>
          </cell>
        </row>
        <row r="18">
          <cell r="B18" t="str">
            <v>VSS</v>
          </cell>
          <cell r="C18" t="str">
            <v>PA00</v>
          </cell>
          <cell r="D18" t="str">
            <v>PA08</v>
          </cell>
          <cell r="F18" t="str">
            <v>DCDC_IN</v>
          </cell>
          <cell r="G18" t="str">
            <v>DCDC_GND</v>
          </cell>
          <cell r="H18" t="str">
            <v>DCDC_LP</v>
          </cell>
          <cell r="I18" t="str">
            <v>DCDC_LP</v>
          </cell>
          <cell r="J18" t="str">
            <v>RSTN</v>
          </cell>
          <cell r="K18" t="str">
            <v>VPMC</v>
          </cell>
          <cell r="L18" t="str">
            <v>RTC_XI</v>
          </cell>
          <cell r="M18" t="str">
            <v>PF21</v>
          </cell>
          <cell r="N18" t="str">
            <v>PF18</v>
          </cell>
          <cell r="O18" t="str">
            <v>PF16</v>
          </cell>
          <cell r="Q18" t="str">
            <v>PF02</v>
          </cell>
          <cell r="R18" t="str">
            <v>VSS</v>
          </cell>
        </row>
        <row r="19">
          <cell r="Y19" t="str">
            <v>VSS</v>
          </cell>
          <cell r="Z19" t="str">
            <v>PB29</v>
          </cell>
          <cell r="AA19" t="str">
            <v>PB24</v>
          </cell>
          <cell r="AB19" t="str">
            <v>PC22</v>
          </cell>
          <cell r="AC19" t="str">
            <v>PC26</v>
          </cell>
        </row>
        <row r="20">
          <cell r="F20" t="str">
            <v>PX00</v>
          </cell>
          <cell r="G20" t="str">
            <v>PX02</v>
          </cell>
          <cell r="H20" t="str">
            <v>PX04</v>
          </cell>
          <cell r="I20" t="str">
            <v>PX06</v>
          </cell>
          <cell r="Y20" t="str">
            <v>PB28</v>
          </cell>
          <cell r="Z20" t="str">
            <v>PB26</v>
          </cell>
          <cell r="AA20" t="str">
            <v>PB27</v>
          </cell>
          <cell r="AB20" t="str">
            <v>PC20</v>
          </cell>
          <cell r="AC20" t="str">
            <v>PC23</v>
          </cell>
        </row>
        <row r="21">
          <cell r="F21" t="str">
            <v>PX01</v>
          </cell>
          <cell r="G21" t="str">
            <v>PX03</v>
          </cell>
          <cell r="H21" t="str">
            <v>PX05</v>
          </cell>
          <cell r="I21" t="str">
            <v>PX07</v>
          </cell>
          <cell r="Y21" t="str">
            <v>PB25</v>
          </cell>
          <cell r="Z21" t="str">
            <v>PB18</v>
          </cell>
          <cell r="AA21" t="str">
            <v>PB19</v>
          </cell>
          <cell r="AB21" t="str">
            <v>PC21</v>
          </cell>
          <cell r="AC21" t="str">
            <v>PC24</v>
          </cell>
        </row>
        <row r="22">
          <cell r="AA22" t="str">
            <v>PB20</v>
          </cell>
          <cell r="AB22" t="str">
            <v>VSS</v>
          </cell>
          <cell r="AC22" t="str">
            <v>PC25</v>
          </cell>
        </row>
        <row r="23">
          <cell r="Y23" t="str">
            <v>PB16</v>
          </cell>
          <cell r="Z23" t="str">
            <v>PB17</v>
          </cell>
          <cell r="AA23" t="str">
            <v>PB21</v>
          </cell>
          <cell r="AB23" t="str">
            <v>PB13</v>
          </cell>
          <cell r="AC23" t="str">
            <v>VIO_B01</v>
          </cell>
        </row>
        <row r="24">
          <cell r="AA24" t="str">
            <v>PB14</v>
          </cell>
          <cell r="AB24" t="str">
            <v>PA27</v>
          </cell>
          <cell r="AC24" t="str">
            <v>VDD_SOC</v>
          </cell>
        </row>
        <row r="25">
          <cell r="AA25" t="str">
            <v>PA25</v>
          </cell>
          <cell r="AB25" t="str">
            <v>PA30</v>
          </cell>
          <cell r="AC25" t="str">
            <v>VDD_SOC</v>
          </cell>
        </row>
        <row r="26">
          <cell r="AA26" t="str">
            <v>PA31</v>
          </cell>
          <cell r="AB26" t="str">
            <v>PA24</v>
          </cell>
          <cell r="AC26" t="str">
            <v>VDD_OTPCAP</v>
          </cell>
        </row>
        <row r="27">
          <cell r="AA27" t="str">
            <v>PA28</v>
          </cell>
          <cell r="AB27" t="str">
            <v>VSS</v>
          </cell>
          <cell r="AC27" t="str">
            <v>PA01</v>
          </cell>
        </row>
      </sheetData>
      <sheetData sheetId="8"/>
      <sheetData sheetId="9"/>
      <sheetData sheetId="10"/>
      <sheetData sheetId="11">
        <row r="1">
          <cell r="B1">
            <v>1</v>
          </cell>
        </row>
        <row r="2">
          <cell r="A2" t="str">
            <v>A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">
          <cell r="CM3">
            <v>4</v>
          </cell>
          <cell r="CN3">
            <v>2</v>
          </cell>
        </row>
        <row r="4">
          <cell r="CM4">
            <v>7</v>
          </cell>
          <cell r="CN4">
            <v>3</v>
          </cell>
        </row>
        <row r="5">
          <cell r="CM5">
            <v>6</v>
          </cell>
          <cell r="CN5">
            <v>3</v>
          </cell>
        </row>
        <row r="6">
          <cell r="CM6">
            <v>5</v>
          </cell>
          <cell r="CN6">
            <v>3</v>
          </cell>
        </row>
        <row r="7">
          <cell r="CM7">
            <v>6</v>
          </cell>
          <cell r="CN7">
            <v>2</v>
          </cell>
        </row>
        <row r="8">
          <cell r="CM8">
            <v>5</v>
          </cell>
          <cell r="CN8">
            <v>2</v>
          </cell>
        </row>
        <row r="9">
          <cell r="CM9">
            <v>4</v>
          </cell>
          <cell r="CN9">
            <v>3</v>
          </cell>
        </row>
        <row r="10">
          <cell r="CM10">
            <v>4</v>
          </cell>
          <cell r="CN10">
            <v>4</v>
          </cell>
        </row>
        <row r="11">
          <cell r="CM11">
            <v>6</v>
          </cell>
          <cell r="CN11">
            <v>1</v>
          </cell>
        </row>
        <row r="12">
          <cell r="CM12">
            <v>5</v>
          </cell>
          <cell r="CN12">
            <v>1</v>
          </cell>
        </row>
        <row r="13">
          <cell r="CM13">
            <v>0</v>
          </cell>
          <cell r="CN13">
            <v>0</v>
          </cell>
        </row>
        <row r="14">
          <cell r="CM14">
            <v>0</v>
          </cell>
          <cell r="CN14">
            <v>0</v>
          </cell>
        </row>
        <row r="15">
          <cell r="CM15">
            <v>0</v>
          </cell>
          <cell r="CN15">
            <v>0</v>
          </cell>
        </row>
        <row r="16">
          <cell r="CM16">
            <v>0</v>
          </cell>
          <cell r="CN16">
            <v>0</v>
          </cell>
        </row>
        <row r="17">
          <cell r="CM17">
            <v>0</v>
          </cell>
          <cell r="CN17">
            <v>0</v>
          </cell>
        </row>
        <row r="18">
          <cell r="CM18">
            <v>0</v>
          </cell>
          <cell r="CN18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R146"/>
  <sheetViews>
    <sheetView workbookViewId="0">
      <selection activeCell="E1" sqref="E1:E2"/>
    </sheetView>
  </sheetViews>
  <sheetFormatPr defaultRowHeight="14" x14ac:dyDescent="0.3"/>
  <cols>
    <col min="1" max="7" width="8.6640625" style="1"/>
    <col min="8" max="8" width="13.83203125" style="1" customWidth="1"/>
    <col min="9" max="9" width="16.4140625" style="1" customWidth="1"/>
    <col min="10" max="16384" width="8.6640625" style="1"/>
  </cols>
  <sheetData>
    <row r="1" spans="1:9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2227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U1" s="1" t="s">
        <v>38</v>
      </c>
      <c r="CA1" s="1" t="s">
        <v>39</v>
      </c>
      <c r="CB1" s="1" t="s">
        <v>40</v>
      </c>
      <c r="CC1" s="1" t="s">
        <v>41</v>
      </c>
      <c r="CD1" s="1" t="s">
        <v>42</v>
      </c>
      <c r="CE1" s="1" t="s">
        <v>43</v>
      </c>
      <c r="CF1" s="1" t="s">
        <v>44</v>
      </c>
      <c r="CG1" s="1" t="s">
        <v>45</v>
      </c>
      <c r="CH1" s="1" t="s">
        <v>46</v>
      </c>
      <c r="CI1" s="1" t="s">
        <v>47</v>
      </c>
      <c r="CJ1" s="1" t="s">
        <v>48</v>
      </c>
      <c r="CK1" s="1" t="s">
        <v>49</v>
      </c>
      <c r="CL1" s="1" t="s">
        <v>50</v>
      </c>
      <c r="CM1" s="1" t="s">
        <v>51</v>
      </c>
      <c r="CN1" s="1" t="s">
        <v>52</v>
      </c>
      <c r="CO1" s="1" t="s">
        <v>53</v>
      </c>
      <c r="CP1" s="1" t="s">
        <v>54</v>
      </c>
      <c r="CQ1" s="1" t="s">
        <v>55</v>
      </c>
      <c r="CR1" s="1" t="s">
        <v>56</v>
      </c>
    </row>
    <row r="2" spans="1:9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2227</v>
      </c>
      <c r="F2" s="1" t="s">
        <v>4</v>
      </c>
      <c r="G2" s="1" t="s">
        <v>5</v>
      </c>
      <c r="H2" s="1" t="s">
        <v>57</v>
      </c>
      <c r="I2" s="1" t="s">
        <v>58</v>
      </c>
      <c r="J2" s="1" t="s">
        <v>59</v>
      </c>
      <c r="K2" s="1" t="s">
        <v>60</v>
      </c>
      <c r="L2" s="1" t="s">
        <v>61</v>
      </c>
      <c r="M2" s="1" t="s">
        <v>62</v>
      </c>
      <c r="N2" s="1" t="s">
        <v>63</v>
      </c>
      <c r="O2" s="1" t="s">
        <v>64</v>
      </c>
      <c r="P2" s="1" t="s">
        <v>65</v>
      </c>
      <c r="Q2" s="1" t="s">
        <v>66</v>
      </c>
      <c r="R2" s="1" t="s">
        <v>67</v>
      </c>
      <c r="S2" s="1" t="s">
        <v>68</v>
      </c>
      <c r="T2" s="1" t="s">
        <v>69</v>
      </c>
      <c r="U2" s="1" t="s">
        <v>70</v>
      </c>
      <c r="V2" s="1" t="s">
        <v>71</v>
      </c>
      <c r="W2" s="1" t="s">
        <v>72</v>
      </c>
      <c r="X2" s="1" t="s">
        <v>73</v>
      </c>
      <c r="Y2" s="1" t="s">
        <v>74</v>
      </c>
      <c r="Z2" s="1" t="s">
        <v>75</v>
      </c>
      <c r="AA2" s="1" t="s">
        <v>76</v>
      </c>
      <c r="AB2" s="1" t="s">
        <v>77</v>
      </c>
      <c r="AC2" s="1" t="s">
        <v>78</v>
      </c>
      <c r="AD2" s="1" t="s">
        <v>79</v>
      </c>
      <c r="AE2" s="1" t="s">
        <v>80</v>
      </c>
      <c r="AF2" s="1" t="s">
        <v>81</v>
      </c>
      <c r="AG2" s="1" t="s">
        <v>82</v>
      </c>
      <c r="AH2" s="1" t="s">
        <v>83</v>
      </c>
      <c r="AI2" s="1" t="s">
        <v>84</v>
      </c>
      <c r="AJ2" s="1" t="s">
        <v>76</v>
      </c>
      <c r="AK2" s="1" t="s">
        <v>76</v>
      </c>
      <c r="AL2" s="1" t="s">
        <v>85</v>
      </c>
      <c r="AM2" s="1" t="s">
        <v>72</v>
      </c>
      <c r="AN2" s="1" t="s">
        <v>86</v>
      </c>
      <c r="AT2" s="1" t="s">
        <v>87</v>
      </c>
      <c r="AU2" s="1" t="s">
        <v>38</v>
      </c>
      <c r="AX2" s="1" t="s">
        <v>88</v>
      </c>
      <c r="AY2" s="1" t="s">
        <v>89</v>
      </c>
      <c r="AZ2" s="1" t="s">
        <v>90</v>
      </c>
      <c r="BA2" s="1" t="s">
        <v>91</v>
      </c>
      <c r="BB2" s="1" t="s">
        <v>92</v>
      </c>
      <c r="BC2" s="1" t="s">
        <v>93</v>
      </c>
      <c r="BD2" s="1" t="s">
        <v>94</v>
      </c>
      <c r="BE2" s="1" t="s">
        <v>95</v>
      </c>
      <c r="BF2" s="1" t="s">
        <v>96</v>
      </c>
      <c r="BG2" s="1" t="s">
        <v>97</v>
      </c>
      <c r="BH2" s="1" t="s">
        <v>98</v>
      </c>
      <c r="BI2" s="1" t="s">
        <v>99</v>
      </c>
      <c r="BJ2" s="1" t="s">
        <v>100</v>
      </c>
      <c r="BK2" s="1" t="s">
        <v>101</v>
      </c>
      <c r="BL2" s="1" t="s">
        <v>102</v>
      </c>
      <c r="BM2" s="1" t="s">
        <v>103</v>
      </c>
      <c r="BN2" s="1" t="s">
        <v>104</v>
      </c>
      <c r="BO2" s="1" t="s">
        <v>105</v>
      </c>
      <c r="CA2" s="1" t="s">
        <v>39</v>
      </c>
      <c r="CB2" s="1" t="s">
        <v>40</v>
      </c>
      <c r="CC2" s="1" t="s">
        <v>106</v>
      </c>
      <c r="CD2" s="1" t="s">
        <v>42</v>
      </c>
      <c r="CE2" s="1" t="s">
        <v>43</v>
      </c>
      <c r="CF2" s="1" t="s">
        <v>107</v>
      </c>
      <c r="CG2" s="1" t="s">
        <v>45</v>
      </c>
      <c r="CH2" s="1" t="s">
        <v>46</v>
      </c>
      <c r="CI2" s="1" t="s">
        <v>108</v>
      </c>
      <c r="CJ2" s="1" t="s">
        <v>48</v>
      </c>
      <c r="CK2" s="1" t="s">
        <v>49</v>
      </c>
      <c r="CL2" s="1" t="s">
        <v>109</v>
      </c>
      <c r="CM2" s="1" t="s">
        <v>51</v>
      </c>
      <c r="CN2" s="1" t="s">
        <v>52</v>
      </c>
      <c r="CO2" s="1" t="s">
        <v>110</v>
      </c>
      <c r="CP2" s="1" t="s">
        <v>54</v>
      </c>
      <c r="CQ2" s="1" t="s">
        <v>55</v>
      </c>
      <c r="CR2" s="1" t="s">
        <v>111</v>
      </c>
    </row>
    <row r="3" spans="1:96" x14ac:dyDescent="0.3">
      <c r="A3" s="1">
        <v>18</v>
      </c>
      <c r="B3" s="1">
        <v>3</v>
      </c>
      <c r="C3" s="1" t="s">
        <v>112</v>
      </c>
      <c r="D3" s="1">
        <v>7</v>
      </c>
      <c r="F3" s="1" t="s">
        <v>113</v>
      </c>
      <c r="G3" s="1" t="s">
        <v>57</v>
      </c>
      <c r="H3" s="1" t="s">
        <v>114</v>
      </c>
      <c r="I3" s="1" t="s">
        <v>115</v>
      </c>
      <c r="J3" s="1" t="s">
        <v>116</v>
      </c>
      <c r="O3" s="1" t="s">
        <v>117</v>
      </c>
      <c r="X3" s="1" t="s">
        <v>118</v>
      </c>
      <c r="Y3" s="1" t="s">
        <v>119</v>
      </c>
      <c r="AF3" s="1" t="s">
        <v>120</v>
      </c>
      <c r="AT3" s="1" t="s">
        <v>57</v>
      </c>
      <c r="CA3" s="1">
        <v>17</v>
      </c>
      <c r="CB3" s="1">
        <v>2</v>
      </c>
      <c r="CC3" s="1" t="s">
        <v>121</v>
      </c>
      <c r="CD3" s="1">
        <v>7</v>
      </c>
      <c r="CE3" s="1">
        <v>2</v>
      </c>
      <c r="CF3" s="1" t="s">
        <v>122</v>
      </c>
      <c r="CG3" s="1">
        <v>15</v>
      </c>
      <c r="CH3" s="1">
        <v>9</v>
      </c>
      <c r="CI3" s="1" t="s">
        <v>123</v>
      </c>
      <c r="CJ3" s="1">
        <v>12</v>
      </c>
      <c r="CK3" s="1">
        <v>4</v>
      </c>
      <c r="CL3" s="1" t="s">
        <v>124</v>
      </c>
      <c r="CM3" s="1">
        <v>4</v>
      </c>
      <c r="CN3" s="1">
        <v>2</v>
      </c>
      <c r="CO3" s="1" t="s">
        <v>125</v>
      </c>
      <c r="CP3" s="1">
        <v>11</v>
      </c>
      <c r="CQ3" s="1">
        <v>4</v>
      </c>
      <c r="CR3" s="1" t="s">
        <v>126</v>
      </c>
    </row>
    <row r="4" spans="1:96" x14ac:dyDescent="0.3">
      <c r="A4" s="1">
        <v>17</v>
      </c>
      <c r="B4" s="1">
        <v>2</v>
      </c>
      <c r="C4" s="1" t="s">
        <v>127</v>
      </c>
      <c r="D4" s="1">
        <v>7</v>
      </c>
      <c r="F4" s="1" t="s">
        <v>113</v>
      </c>
      <c r="G4" s="1" t="s">
        <v>57</v>
      </c>
      <c r="H4" s="1" t="s">
        <v>128</v>
      </c>
      <c r="I4" s="1" t="s">
        <v>129</v>
      </c>
      <c r="J4" s="1" t="s">
        <v>130</v>
      </c>
      <c r="O4" s="1" t="s">
        <v>131</v>
      </c>
      <c r="X4" s="1" t="s">
        <v>132</v>
      </c>
      <c r="Y4" s="1" t="s">
        <v>133</v>
      </c>
      <c r="AF4" s="1" t="s">
        <v>134</v>
      </c>
      <c r="AT4" s="1" t="s">
        <v>57</v>
      </c>
      <c r="AU4" s="1" t="s">
        <v>135</v>
      </c>
      <c r="CA4" s="1">
        <v>16</v>
      </c>
      <c r="CB4" s="1">
        <v>1</v>
      </c>
      <c r="CC4" s="1" t="s">
        <v>136</v>
      </c>
      <c r="CD4" s="1">
        <v>7</v>
      </c>
      <c r="CE4" s="1">
        <v>3</v>
      </c>
      <c r="CF4" s="1" t="s">
        <v>137</v>
      </c>
      <c r="CG4" s="1">
        <v>15</v>
      </c>
      <c r="CH4" s="1">
        <v>8</v>
      </c>
      <c r="CI4" s="1" t="s">
        <v>138</v>
      </c>
      <c r="CJ4" s="1">
        <v>11</v>
      </c>
      <c r="CK4" s="1">
        <v>4</v>
      </c>
      <c r="CL4" s="1" t="s">
        <v>126</v>
      </c>
      <c r="CM4" s="1">
        <v>7</v>
      </c>
      <c r="CN4" s="1">
        <v>3</v>
      </c>
      <c r="CO4" s="1" t="s">
        <v>137</v>
      </c>
      <c r="CP4" s="1">
        <v>13</v>
      </c>
      <c r="CQ4" s="1">
        <v>4</v>
      </c>
      <c r="CR4" s="1" t="s">
        <v>139</v>
      </c>
    </row>
    <row r="5" spans="1:96" x14ac:dyDescent="0.3">
      <c r="A5" s="1">
        <v>17</v>
      </c>
      <c r="B5" s="1">
        <v>3</v>
      </c>
      <c r="C5" s="1" t="s">
        <v>140</v>
      </c>
      <c r="D5" s="1">
        <v>9</v>
      </c>
      <c r="F5" s="1" t="s">
        <v>113</v>
      </c>
      <c r="G5" s="1" t="s">
        <v>57</v>
      </c>
      <c r="H5" s="1" t="s">
        <v>141</v>
      </c>
      <c r="I5" s="1" t="s">
        <v>142</v>
      </c>
      <c r="J5" s="1" t="s">
        <v>143</v>
      </c>
      <c r="K5" s="1" t="s">
        <v>144</v>
      </c>
      <c r="L5" s="1" t="s">
        <v>145</v>
      </c>
      <c r="O5" s="1" t="s">
        <v>146</v>
      </c>
      <c r="X5" s="1" t="s">
        <v>147</v>
      </c>
      <c r="Y5" s="1" t="s">
        <v>148</v>
      </c>
      <c r="AF5" s="1" t="s">
        <v>149</v>
      </c>
      <c r="AT5" s="1" t="s">
        <v>57</v>
      </c>
      <c r="AU5" s="1" t="s">
        <v>150</v>
      </c>
      <c r="CA5" s="1">
        <v>16</v>
      </c>
      <c r="CB5" s="1">
        <v>2</v>
      </c>
      <c r="CC5" s="1" t="s">
        <v>151</v>
      </c>
      <c r="CD5" s="1">
        <v>7</v>
      </c>
      <c r="CE5" s="1">
        <v>4</v>
      </c>
      <c r="CF5" s="1" t="s">
        <v>152</v>
      </c>
      <c r="CG5" s="1">
        <v>16</v>
      </c>
      <c r="CH5" s="1">
        <v>8</v>
      </c>
      <c r="CI5" s="1" t="s">
        <v>153</v>
      </c>
      <c r="CJ5" s="1">
        <v>12</v>
      </c>
      <c r="CK5" s="1">
        <v>3</v>
      </c>
      <c r="CL5" s="1" t="s">
        <v>154</v>
      </c>
      <c r="CM5" s="1">
        <v>6</v>
      </c>
      <c r="CN5" s="1">
        <v>3</v>
      </c>
      <c r="CO5" s="1" t="s">
        <v>155</v>
      </c>
      <c r="CP5" s="1">
        <v>12</v>
      </c>
      <c r="CQ5" s="1">
        <v>4</v>
      </c>
      <c r="CR5" s="1" t="s">
        <v>124</v>
      </c>
    </row>
    <row r="6" spans="1:96" x14ac:dyDescent="0.3">
      <c r="A6" s="1">
        <v>16</v>
      </c>
      <c r="B6" s="1">
        <v>2</v>
      </c>
      <c r="C6" s="1" t="s">
        <v>156</v>
      </c>
      <c r="D6" s="1">
        <v>9</v>
      </c>
      <c r="F6" s="1" t="s">
        <v>113</v>
      </c>
      <c r="G6" s="1" t="s">
        <v>57</v>
      </c>
      <c r="H6" s="1" t="s">
        <v>157</v>
      </c>
      <c r="I6" s="1" t="s">
        <v>158</v>
      </c>
      <c r="K6" s="1" t="s">
        <v>159</v>
      </c>
      <c r="L6" s="1" t="s">
        <v>160</v>
      </c>
      <c r="M6" s="1" t="s">
        <v>161</v>
      </c>
      <c r="O6" s="1" t="s">
        <v>162</v>
      </c>
      <c r="X6" s="1" t="s">
        <v>163</v>
      </c>
      <c r="Y6" s="1" t="s">
        <v>164</v>
      </c>
      <c r="AF6" s="1" t="s">
        <v>165</v>
      </c>
      <c r="AT6" s="1" t="s">
        <v>57</v>
      </c>
      <c r="AU6" s="1" t="s">
        <v>166</v>
      </c>
      <c r="CA6" s="1">
        <v>15</v>
      </c>
      <c r="CB6" s="1">
        <v>1</v>
      </c>
      <c r="CC6" s="1" t="s">
        <v>167</v>
      </c>
      <c r="CD6" s="1">
        <v>7</v>
      </c>
      <c r="CE6" s="1">
        <v>5</v>
      </c>
      <c r="CF6" s="1" t="s">
        <v>168</v>
      </c>
      <c r="CG6" s="1">
        <v>16</v>
      </c>
      <c r="CH6" s="1">
        <v>7</v>
      </c>
      <c r="CI6" s="1" t="s">
        <v>169</v>
      </c>
      <c r="CJ6" s="1">
        <v>11</v>
      </c>
      <c r="CK6" s="1">
        <v>3</v>
      </c>
      <c r="CL6" s="1" t="s">
        <v>170</v>
      </c>
      <c r="CM6" s="1">
        <v>5</v>
      </c>
      <c r="CN6" s="1">
        <v>3</v>
      </c>
      <c r="CO6" s="1" t="s">
        <v>171</v>
      </c>
      <c r="CP6" s="1">
        <v>12</v>
      </c>
      <c r="CQ6" s="1">
        <v>3</v>
      </c>
      <c r="CR6" s="1" t="s">
        <v>154</v>
      </c>
    </row>
    <row r="7" spans="1:96" x14ac:dyDescent="0.3">
      <c r="A7" s="1">
        <v>16</v>
      </c>
      <c r="B7" s="1">
        <v>3</v>
      </c>
      <c r="C7" s="1" t="s">
        <v>172</v>
      </c>
      <c r="D7" s="1">
        <v>7</v>
      </c>
      <c r="F7" s="1" t="s">
        <v>113</v>
      </c>
      <c r="G7" s="1" t="s">
        <v>57</v>
      </c>
      <c r="H7" s="1" t="s">
        <v>173</v>
      </c>
      <c r="K7" s="1" t="s">
        <v>174</v>
      </c>
      <c r="M7" s="1" t="s">
        <v>175</v>
      </c>
      <c r="O7" s="1" t="s">
        <v>176</v>
      </c>
      <c r="X7" s="1" t="s">
        <v>177</v>
      </c>
      <c r="Y7" s="1" t="s">
        <v>178</v>
      </c>
      <c r="AF7" s="1" t="s">
        <v>179</v>
      </c>
      <c r="AT7" s="1" t="s">
        <v>180</v>
      </c>
      <c r="CA7" s="1">
        <v>15</v>
      </c>
      <c r="CB7" s="1">
        <v>2</v>
      </c>
      <c r="CC7" s="1" t="s">
        <v>181</v>
      </c>
      <c r="CD7" s="1">
        <v>6</v>
      </c>
      <c r="CE7" s="1">
        <v>2</v>
      </c>
      <c r="CF7" s="1" t="s">
        <v>182</v>
      </c>
      <c r="CG7" s="1">
        <v>16</v>
      </c>
      <c r="CH7" s="1">
        <v>6</v>
      </c>
      <c r="CI7" s="1" t="s">
        <v>183</v>
      </c>
      <c r="CJ7" s="1">
        <v>12</v>
      </c>
      <c r="CK7" s="1">
        <v>2</v>
      </c>
      <c r="CL7" s="1" t="s">
        <v>184</v>
      </c>
      <c r="CM7" s="1">
        <v>6</v>
      </c>
      <c r="CN7" s="1">
        <v>2</v>
      </c>
      <c r="CO7" s="1" t="s">
        <v>182</v>
      </c>
      <c r="CP7" s="1">
        <v>12</v>
      </c>
      <c r="CQ7" s="1">
        <v>2</v>
      </c>
      <c r="CR7" s="1" t="s">
        <v>184</v>
      </c>
    </row>
    <row r="8" spans="1:96" x14ac:dyDescent="0.3">
      <c r="A8" s="1">
        <v>15</v>
      </c>
      <c r="B8" s="1">
        <v>2</v>
      </c>
      <c r="C8" s="1" t="s">
        <v>185</v>
      </c>
      <c r="D8" s="1">
        <v>9</v>
      </c>
      <c r="F8" s="1" t="s">
        <v>113</v>
      </c>
      <c r="G8" s="1" t="s">
        <v>57</v>
      </c>
      <c r="H8" s="1" t="s">
        <v>186</v>
      </c>
      <c r="I8" s="1" t="s">
        <v>187</v>
      </c>
      <c r="J8" s="1" t="s">
        <v>188</v>
      </c>
      <c r="K8" s="1" t="s">
        <v>189</v>
      </c>
      <c r="M8" s="1" t="s">
        <v>190</v>
      </c>
      <c r="O8" s="1" t="s">
        <v>191</v>
      </c>
      <c r="X8" s="1" t="s">
        <v>192</v>
      </c>
      <c r="Y8" s="1" t="s">
        <v>193</v>
      </c>
      <c r="AF8" s="1" t="s">
        <v>194</v>
      </c>
      <c r="AT8" s="1" t="s">
        <v>180</v>
      </c>
      <c r="CA8" s="1">
        <v>14</v>
      </c>
      <c r="CB8" s="1">
        <v>1</v>
      </c>
      <c r="CC8" s="1" t="s">
        <v>195</v>
      </c>
      <c r="CD8" s="1">
        <v>6</v>
      </c>
      <c r="CE8" s="1">
        <v>3</v>
      </c>
      <c r="CF8" s="1" t="s">
        <v>155</v>
      </c>
      <c r="CG8" s="1">
        <v>15</v>
      </c>
      <c r="CH8" s="1">
        <v>6</v>
      </c>
      <c r="CI8" s="1" t="s">
        <v>196</v>
      </c>
      <c r="CJ8" s="1">
        <v>11</v>
      </c>
      <c r="CK8" s="1">
        <v>2</v>
      </c>
      <c r="CL8" s="1" t="s">
        <v>197</v>
      </c>
      <c r="CM8" s="1">
        <v>5</v>
      </c>
      <c r="CN8" s="1">
        <v>2</v>
      </c>
      <c r="CO8" s="1" t="s">
        <v>198</v>
      </c>
      <c r="CP8" s="1">
        <v>13</v>
      </c>
      <c r="CQ8" s="1">
        <v>2</v>
      </c>
      <c r="CR8" s="1" t="s">
        <v>199</v>
      </c>
    </row>
    <row r="9" spans="1:96" x14ac:dyDescent="0.3">
      <c r="A9" s="1">
        <v>15</v>
      </c>
      <c r="B9" s="1">
        <v>3</v>
      </c>
      <c r="C9" s="1" t="s">
        <v>200</v>
      </c>
      <c r="D9" s="1">
        <v>8</v>
      </c>
      <c r="F9" s="1" t="s">
        <v>113</v>
      </c>
      <c r="G9" s="1" t="s">
        <v>57</v>
      </c>
      <c r="H9" s="1" t="s">
        <v>201</v>
      </c>
      <c r="I9" s="1" t="s">
        <v>202</v>
      </c>
      <c r="J9" s="1" t="s">
        <v>203</v>
      </c>
      <c r="L9" s="1" t="s">
        <v>204</v>
      </c>
      <c r="M9" s="1" t="s">
        <v>205</v>
      </c>
      <c r="X9" s="1" t="s">
        <v>206</v>
      </c>
      <c r="Y9" s="1" t="s">
        <v>207</v>
      </c>
      <c r="AF9" s="1" t="s">
        <v>208</v>
      </c>
      <c r="AT9" s="1" t="s">
        <v>180</v>
      </c>
      <c r="CA9" s="1">
        <v>14</v>
      </c>
      <c r="CB9" s="1">
        <v>2</v>
      </c>
      <c r="CC9" s="1" t="s">
        <v>209</v>
      </c>
      <c r="CD9" s="1">
        <v>6</v>
      </c>
      <c r="CE9" s="1">
        <v>4</v>
      </c>
      <c r="CF9" s="1" t="s">
        <v>210</v>
      </c>
      <c r="CG9" s="1">
        <v>15</v>
      </c>
      <c r="CH9" s="1">
        <v>5</v>
      </c>
      <c r="CI9" s="1" t="s">
        <v>211</v>
      </c>
      <c r="CJ9" s="1">
        <v>11</v>
      </c>
      <c r="CK9" s="1">
        <v>1</v>
      </c>
      <c r="CL9" s="1" t="s">
        <v>212</v>
      </c>
      <c r="CM9" s="1">
        <v>4</v>
      </c>
      <c r="CN9" s="1">
        <v>3</v>
      </c>
      <c r="CO9" s="1" t="s">
        <v>213</v>
      </c>
      <c r="CP9" s="1">
        <v>12</v>
      </c>
      <c r="CQ9" s="1">
        <v>1</v>
      </c>
      <c r="CR9" s="1" t="s">
        <v>214</v>
      </c>
    </row>
    <row r="10" spans="1:96" x14ac:dyDescent="0.3">
      <c r="A10" s="1">
        <v>15</v>
      </c>
      <c r="B10" s="1">
        <v>4</v>
      </c>
      <c r="C10" s="1" t="s">
        <v>215</v>
      </c>
      <c r="D10" s="1">
        <v>9</v>
      </c>
      <c r="F10" s="1" t="s">
        <v>113</v>
      </c>
      <c r="G10" s="1" t="s">
        <v>57</v>
      </c>
      <c r="H10" s="1" t="s">
        <v>216</v>
      </c>
      <c r="I10" s="1" t="s">
        <v>217</v>
      </c>
      <c r="J10" s="1" t="s">
        <v>218</v>
      </c>
      <c r="L10" s="1" t="s">
        <v>219</v>
      </c>
      <c r="M10" s="1" t="s">
        <v>220</v>
      </c>
      <c r="Q10" s="1" t="s">
        <v>221</v>
      </c>
      <c r="X10" s="1" t="s">
        <v>222</v>
      </c>
      <c r="Y10" s="1" t="s">
        <v>223</v>
      </c>
      <c r="AF10" s="1" t="s">
        <v>224</v>
      </c>
      <c r="AT10" s="1" t="s">
        <v>180</v>
      </c>
      <c r="CA10" s="1">
        <v>14</v>
      </c>
      <c r="CB10" s="1">
        <v>3</v>
      </c>
      <c r="CC10" s="1" t="s">
        <v>225</v>
      </c>
      <c r="CD10" s="1">
        <v>6</v>
      </c>
      <c r="CE10" s="1">
        <v>5</v>
      </c>
      <c r="CF10" s="1" t="s">
        <v>226</v>
      </c>
      <c r="CG10" s="1">
        <v>15</v>
      </c>
      <c r="CH10" s="1">
        <v>4</v>
      </c>
      <c r="CI10" s="1" t="s">
        <v>227</v>
      </c>
      <c r="CJ10" s="1">
        <v>10</v>
      </c>
      <c r="CK10" s="1">
        <v>1</v>
      </c>
      <c r="CL10" s="1" t="s">
        <v>228</v>
      </c>
      <c r="CM10" s="1">
        <v>4</v>
      </c>
      <c r="CN10" s="1">
        <v>4</v>
      </c>
      <c r="CO10" s="1" t="s">
        <v>229</v>
      </c>
      <c r="CP10" s="1">
        <v>11</v>
      </c>
      <c r="CQ10" s="1">
        <v>2</v>
      </c>
      <c r="CR10" s="1" t="s">
        <v>197</v>
      </c>
    </row>
    <row r="11" spans="1:96" x14ac:dyDescent="0.3">
      <c r="A11" s="1">
        <v>18</v>
      </c>
      <c r="B11" s="1">
        <v>4</v>
      </c>
      <c r="C11" s="1" t="s">
        <v>230</v>
      </c>
      <c r="D11" s="1">
        <v>13</v>
      </c>
      <c r="F11" s="1" t="s">
        <v>113</v>
      </c>
      <c r="G11" s="1" t="s">
        <v>231</v>
      </c>
      <c r="H11" s="1" t="s">
        <v>232</v>
      </c>
      <c r="I11" s="1" t="s">
        <v>233</v>
      </c>
      <c r="J11" s="1" t="s">
        <v>234</v>
      </c>
      <c r="L11" s="1" t="s">
        <v>235</v>
      </c>
      <c r="M11" s="1" t="s">
        <v>236</v>
      </c>
      <c r="O11" s="1" t="s">
        <v>237</v>
      </c>
      <c r="X11" s="1" t="s">
        <v>238</v>
      </c>
      <c r="Y11" s="1" t="s">
        <v>239</v>
      </c>
      <c r="AB11" s="1" t="s">
        <v>240</v>
      </c>
      <c r="AC11" s="1" t="s">
        <v>241</v>
      </c>
      <c r="AD11" s="1" t="s">
        <v>242</v>
      </c>
      <c r="AE11" s="1" t="s">
        <v>243</v>
      </c>
      <c r="AF11" s="1" t="s">
        <v>244</v>
      </c>
      <c r="AT11" s="1" t="s">
        <v>180</v>
      </c>
      <c r="CA11" s="1">
        <v>17</v>
      </c>
      <c r="CB11" s="1">
        <v>3</v>
      </c>
      <c r="CC11" s="1" t="s">
        <v>245</v>
      </c>
      <c r="CD11" s="1">
        <v>7</v>
      </c>
      <c r="CE11" s="1">
        <v>1</v>
      </c>
      <c r="CF11" s="1" t="s">
        <v>246</v>
      </c>
      <c r="CG11" s="1">
        <v>14</v>
      </c>
      <c r="CH11" s="1">
        <v>8</v>
      </c>
      <c r="CI11" s="1" t="s">
        <v>247</v>
      </c>
      <c r="CJ11" s="1">
        <v>10</v>
      </c>
      <c r="CK11" s="1">
        <v>2</v>
      </c>
      <c r="CL11" s="1" t="s">
        <v>248</v>
      </c>
      <c r="CM11" s="1">
        <v>6</v>
      </c>
      <c r="CN11" s="1">
        <v>1</v>
      </c>
      <c r="CO11" s="1" t="s">
        <v>249</v>
      </c>
      <c r="CP11" s="1">
        <v>11</v>
      </c>
      <c r="CQ11" s="1">
        <v>6</v>
      </c>
      <c r="CR11" s="1" t="s">
        <v>250</v>
      </c>
    </row>
    <row r="12" spans="1:96" x14ac:dyDescent="0.3">
      <c r="A12" s="1">
        <v>18</v>
      </c>
      <c r="B12" s="1">
        <v>5</v>
      </c>
      <c r="C12" s="1" t="s">
        <v>135</v>
      </c>
      <c r="D12" s="1">
        <v>15</v>
      </c>
      <c r="F12" s="1" t="s">
        <v>113</v>
      </c>
      <c r="G12" s="1" t="s">
        <v>57</v>
      </c>
      <c r="H12" s="1" t="s">
        <v>251</v>
      </c>
      <c r="I12" s="1" t="s">
        <v>252</v>
      </c>
      <c r="J12" s="1" t="s">
        <v>253</v>
      </c>
      <c r="L12" s="1" t="s">
        <v>254</v>
      </c>
      <c r="M12" s="1" t="s">
        <v>255</v>
      </c>
      <c r="O12" s="1" t="s">
        <v>256</v>
      </c>
      <c r="X12" s="1" t="s">
        <v>257</v>
      </c>
      <c r="Y12" s="1" t="s">
        <v>258</v>
      </c>
      <c r="AB12" s="1" t="s">
        <v>259</v>
      </c>
      <c r="AC12" s="1" t="s">
        <v>260</v>
      </c>
      <c r="AD12" s="1" t="s">
        <v>261</v>
      </c>
      <c r="AE12" s="1" t="s">
        <v>262</v>
      </c>
      <c r="AG12" s="1" t="s">
        <v>263</v>
      </c>
      <c r="AT12" s="1" t="s">
        <v>57</v>
      </c>
      <c r="AU12" s="1" t="s">
        <v>112</v>
      </c>
      <c r="CA12" s="1">
        <v>17</v>
      </c>
      <c r="CB12" s="1">
        <v>4</v>
      </c>
      <c r="CC12" s="1" t="s">
        <v>264</v>
      </c>
      <c r="CD12" s="1">
        <v>6</v>
      </c>
      <c r="CE12" s="1">
        <v>1</v>
      </c>
      <c r="CF12" s="1" t="s">
        <v>249</v>
      </c>
      <c r="CG12" s="1">
        <v>14</v>
      </c>
      <c r="CH12" s="1">
        <v>5</v>
      </c>
      <c r="CI12" s="1" t="s">
        <v>265</v>
      </c>
      <c r="CJ12" s="1">
        <v>9</v>
      </c>
      <c r="CK12" s="1">
        <v>2</v>
      </c>
      <c r="CL12" s="1" t="s">
        <v>266</v>
      </c>
      <c r="CM12" s="1">
        <v>5</v>
      </c>
      <c r="CN12" s="1">
        <v>1</v>
      </c>
      <c r="CO12" s="1" t="s">
        <v>267</v>
      </c>
      <c r="CP12" s="1">
        <v>11</v>
      </c>
      <c r="CQ12" s="1">
        <v>5</v>
      </c>
      <c r="CR12" s="1" t="s">
        <v>268</v>
      </c>
    </row>
    <row r="13" spans="1:96" x14ac:dyDescent="0.3">
      <c r="A13" s="1">
        <v>17</v>
      </c>
      <c r="B13" s="1">
        <v>4</v>
      </c>
      <c r="C13" s="1" t="s">
        <v>150</v>
      </c>
      <c r="D13" s="1">
        <v>17</v>
      </c>
      <c r="F13" s="1" t="s">
        <v>113</v>
      </c>
      <c r="G13" s="1" t="s">
        <v>57</v>
      </c>
      <c r="H13" s="1" t="s">
        <v>269</v>
      </c>
      <c r="I13" s="1" t="s">
        <v>270</v>
      </c>
      <c r="J13" s="1" t="s">
        <v>271</v>
      </c>
      <c r="K13" s="1" t="s">
        <v>272</v>
      </c>
      <c r="M13" s="1" t="s">
        <v>273</v>
      </c>
      <c r="O13" s="1" t="s">
        <v>274</v>
      </c>
      <c r="X13" s="1" t="s">
        <v>275</v>
      </c>
      <c r="Y13" s="1" t="s">
        <v>276</v>
      </c>
      <c r="AB13" s="1" t="s">
        <v>277</v>
      </c>
      <c r="AC13" s="1" t="s">
        <v>278</v>
      </c>
      <c r="AD13" s="1" t="s">
        <v>279</v>
      </c>
      <c r="AE13" s="1" t="s">
        <v>280</v>
      </c>
      <c r="AF13" s="1" t="s">
        <v>281</v>
      </c>
      <c r="AG13" s="1" t="s">
        <v>282</v>
      </c>
      <c r="AT13" s="1" t="s">
        <v>57</v>
      </c>
      <c r="AU13" s="1" t="s">
        <v>127</v>
      </c>
      <c r="CA13" s="1">
        <v>16</v>
      </c>
      <c r="CB13" s="1">
        <v>3</v>
      </c>
      <c r="CC13" s="1" t="s">
        <v>283</v>
      </c>
      <c r="CD13" s="1">
        <v>0</v>
      </c>
      <c r="CE13" s="1">
        <v>0</v>
      </c>
      <c r="CG13" s="1">
        <v>0</v>
      </c>
      <c r="CH13" s="1">
        <v>0</v>
      </c>
      <c r="CJ13" s="1">
        <v>0</v>
      </c>
      <c r="CK13" s="1">
        <v>0</v>
      </c>
      <c r="CM13" s="1">
        <v>0</v>
      </c>
      <c r="CN13" s="1">
        <v>0</v>
      </c>
      <c r="CP13" s="1">
        <v>0</v>
      </c>
      <c r="CQ13" s="1">
        <v>0</v>
      </c>
    </row>
    <row r="14" spans="1:96" x14ac:dyDescent="0.3">
      <c r="A14" s="1">
        <v>17</v>
      </c>
      <c r="B14" s="1">
        <v>5</v>
      </c>
      <c r="C14" s="1" t="s">
        <v>166</v>
      </c>
      <c r="D14" s="1">
        <v>15</v>
      </c>
      <c r="F14" s="1" t="s">
        <v>113</v>
      </c>
      <c r="G14" s="1" t="s">
        <v>57</v>
      </c>
      <c r="H14" s="1" t="s">
        <v>284</v>
      </c>
      <c r="K14" s="1" t="s">
        <v>285</v>
      </c>
      <c r="M14" s="1" t="s">
        <v>286</v>
      </c>
      <c r="Q14" s="1" t="s">
        <v>287</v>
      </c>
      <c r="X14" s="1" t="s">
        <v>288</v>
      </c>
      <c r="Y14" s="1" t="s">
        <v>289</v>
      </c>
      <c r="AB14" s="1" t="s">
        <v>290</v>
      </c>
      <c r="AC14" s="1" t="s">
        <v>291</v>
      </c>
      <c r="AD14" s="1" t="s">
        <v>292</v>
      </c>
      <c r="AE14" s="1" t="s">
        <v>293</v>
      </c>
      <c r="AF14" s="1" t="s">
        <v>294</v>
      </c>
      <c r="AG14" s="1" t="s">
        <v>295</v>
      </c>
      <c r="AT14" s="1" t="s">
        <v>57</v>
      </c>
      <c r="AU14" s="1" t="s">
        <v>140</v>
      </c>
      <c r="CA14" s="1">
        <v>16</v>
      </c>
      <c r="CB14" s="1">
        <v>4</v>
      </c>
      <c r="CC14" s="1" t="s">
        <v>296</v>
      </c>
      <c r="CD14" s="1">
        <v>0</v>
      </c>
      <c r="CE14" s="1">
        <v>0</v>
      </c>
      <c r="CG14" s="1">
        <v>0</v>
      </c>
      <c r="CH14" s="1">
        <v>0</v>
      </c>
      <c r="CJ14" s="1">
        <v>0</v>
      </c>
      <c r="CK14" s="1">
        <v>0</v>
      </c>
      <c r="CM14" s="1">
        <v>0</v>
      </c>
      <c r="CN14" s="1">
        <v>0</v>
      </c>
      <c r="CP14" s="1">
        <v>0</v>
      </c>
      <c r="CQ14" s="1">
        <v>0</v>
      </c>
    </row>
    <row r="15" spans="1:96" x14ac:dyDescent="0.3">
      <c r="A15" s="1">
        <v>16</v>
      </c>
      <c r="B15" s="1">
        <v>4</v>
      </c>
      <c r="C15" s="1" t="s">
        <v>297</v>
      </c>
      <c r="D15" s="1">
        <v>16</v>
      </c>
      <c r="F15" s="1" t="s">
        <v>113</v>
      </c>
      <c r="G15" s="1" t="s">
        <v>57</v>
      </c>
      <c r="H15" s="1" t="s">
        <v>298</v>
      </c>
      <c r="K15" s="1" t="s">
        <v>299</v>
      </c>
      <c r="L15" s="1" t="s">
        <v>300</v>
      </c>
      <c r="M15" s="1" t="s">
        <v>301</v>
      </c>
      <c r="Q15" s="1" t="s">
        <v>302</v>
      </c>
      <c r="X15" s="1" t="s">
        <v>303</v>
      </c>
      <c r="Y15" s="1" t="s">
        <v>304</v>
      </c>
      <c r="AB15" s="1" t="s">
        <v>305</v>
      </c>
      <c r="AC15" s="1" t="s">
        <v>306</v>
      </c>
      <c r="AD15" s="1" t="s">
        <v>307</v>
      </c>
      <c r="AE15" s="1" t="s">
        <v>308</v>
      </c>
      <c r="AF15" s="1" t="s">
        <v>309</v>
      </c>
      <c r="AG15" s="1" t="s">
        <v>310</v>
      </c>
      <c r="AT15" s="1" t="s">
        <v>57</v>
      </c>
      <c r="AU15" s="1" t="s">
        <v>156</v>
      </c>
      <c r="CA15" s="1">
        <v>15</v>
      </c>
      <c r="CB15" s="1">
        <v>3</v>
      </c>
      <c r="CC15" s="1" t="s">
        <v>311</v>
      </c>
      <c r="CD15" s="1">
        <v>0</v>
      </c>
      <c r="CE15" s="1">
        <v>0</v>
      </c>
      <c r="CG15" s="1">
        <v>0</v>
      </c>
      <c r="CH15" s="1">
        <v>0</v>
      </c>
      <c r="CJ15" s="1">
        <v>0</v>
      </c>
      <c r="CK15" s="1">
        <v>0</v>
      </c>
      <c r="CM15" s="1">
        <v>0</v>
      </c>
      <c r="CN15" s="1">
        <v>0</v>
      </c>
      <c r="CP15" s="1">
        <v>0</v>
      </c>
      <c r="CQ15" s="1">
        <v>0</v>
      </c>
    </row>
    <row r="16" spans="1:96" x14ac:dyDescent="0.3">
      <c r="A16" s="1">
        <v>16</v>
      </c>
      <c r="B16" s="1">
        <v>5</v>
      </c>
      <c r="C16" s="1" t="s">
        <v>312</v>
      </c>
      <c r="D16" s="1">
        <v>19</v>
      </c>
      <c r="F16" s="1" t="s">
        <v>113</v>
      </c>
      <c r="G16" s="1" t="s">
        <v>57</v>
      </c>
      <c r="H16" s="1" t="s">
        <v>313</v>
      </c>
      <c r="I16" s="1" t="s">
        <v>314</v>
      </c>
      <c r="J16" s="1" t="s">
        <v>315</v>
      </c>
      <c r="K16" s="1" t="s">
        <v>316</v>
      </c>
      <c r="L16" s="1" t="s">
        <v>317</v>
      </c>
      <c r="M16" s="1" t="s">
        <v>318</v>
      </c>
      <c r="O16" s="1" t="s">
        <v>319</v>
      </c>
      <c r="Q16" s="1" t="s">
        <v>320</v>
      </c>
      <c r="X16" s="1" t="s">
        <v>321</v>
      </c>
      <c r="Y16" s="1" t="s">
        <v>322</v>
      </c>
      <c r="AB16" s="1" t="s">
        <v>323</v>
      </c>
      <c r="AC16" s="1" t="s">
        <v>324</v>
      </c>
      <c r="AD16" s="1" t="s">
        <v>325</v>
      </c>
      <c r="AE16" s="1" t="s">
        <v>326</v>
      </c>
      <c r="AF16" s="1" t="s">
        <v>327</v>
      </c>
      <c r="AG16" s="1" t="s">
        <v>328</v>
      </c>
      <c r="AT16" s="1" t="s">
        <v>57</v>
      </c>
      <c r="AU16" s="1" t="s">
        <v>297</v>
      </c>
      <c r="CA16" s="1">
        <v>15</v>
      </c>
      <c r="CB16" s="1">
        <v>4</v>
      </c>
      <c r="CC16" s="1" t="s">
        <v>227</v>
      </c>
      <c r="CD16" s="1">
        <v>0</v>
      </c>
      <c r="CE16" s="1">
        <v>0</v>
      </c>
      <c r="CG16" s="1">
        <v>0</v>
      </c>
      <c r="CH16" s="1">
        <v>0</v>
      </c>
      <c r="CJ16" s="1">
        <v>0</v>
      </c>
      <c r="CK16" s="1">
        <v>0</v>
      </c>
      <c r="CM16" s="1">
        <v>0</v>
      </c>
      <c r="CN16" s="1">
        <v>0</v>
      </c>
      <c r="CP16" s="1">
        <v>0</v>
      </c>
      <c r="CQ16" s="1">
        <v>0</v>
      </c>
    </row>
    <row r="17" spans="1:96" x14ac:dyDescent="0.3">
      <c r="A17" s="1">
        <v>16</v>
      </c>
      <c r="B17" s="1">
        <v>6</v>
      </c>
      <c r="C17" s="1" t="s">
        <v>329</v>
      </c>
      <c r="D17" s="1">
        <v>14</v>
      </c>
      <c r="F17" s="1" t="s">
        <v>113</v>
      </c>
      <c r="G17" s="1" t="s">
        <v>57</v>
      </c>
      <c r="H17" s="1" t="s">
        <v>330</v>
      </c>
      <c r="J17" s="1" t="s">
        <v>331</v>
      </c>
      <c r="M17" s="1" t="s">
        <v>332</v>
      </c>
      <c r="O17" s="1" t="s">
        <v>333</v>
      </c>
      <c r="Q17" s="1" t="s">
        <v>334</v>
      </c>
      <c r="X17" s="1" t="s">
        <v>335</v>
      </c>
      <c r="Y17" s="1" t="s">
        <v>336</v>
      </c>
      <c r="AB17" s="1" t="s">
        <v>337</v>
      </c>
      <c r="AC17" s="1" t="s">
        <v>338</v>
      </c>
      <c r="AD17" s="1" t="s">
        <v>339</v>
      </c>
      <c r="AE17" s="1" t="s">
        <v>340</v>
      </c>
      <c r="AG17" s="1" t="s">
        <v>341</v>
      </c>
      <c r="AT17" s="1" t="s">
        <v>57</v>
      </c>
      <c r="AU17" s="1" t="s">
        <v>312</v>
      </c>
      <c r="CA17" s="1">
        <v>15</v>
      </c>
      <c r="CB17" s="1">
        <v>5</v>
      </c>
      <c r="CC17" s="1" t="s">
        <v>211</v>
      </c>
      <c r="CD17" s="1">
        <v>0</v>
      </c>
      <c r="CE17" s="1">
        <v>0</v>
      </c>
      <c r="CG17" s="1">
        <v>0</v>
      </c>
      <c r="CH17" s="1">
        <v>0</v>
      </c>
      <c r="CJ17" s="1">
        <v>0</v>
      </c>
      <c r="CK17" s="1">
        <v>0</v>
      </c>
      <c r="CM17" s="1">
        <v>0</v>
      </c>
      <c r="CN17" s="1">
        <v>0</v>
      </c>
      <c r="CP17" s="1">
        <v>0</v>
      </c>
      <c r="CQ17" s="1">
        <v>0</v>
      </c>
    </row>
    <row r="18" spans="1:96" x14ac:dyDescent="0.3">
      <c r="A18" s="1">
        <v>15</v>
      </c>
      <c r="B18" s="1">
        <v>6</v>
      </c>
      <c r="C18" s="1" t="s">
        <v>342</v>
      </c>
      <c r="D18" s="1">
        <v>13</v>
      </c>
      <c r="F18" s="1" t="s">
        <v>113</v>
      </c>
      <c r="G18" s="1" t="s">
        <v>57</v>
      </c>
      <c r="H18" s="1" t="s">
        <v>343</v>
      </c>
      <c r="I18" s="1" t="s">
        <v>344</v>
      </c>
      <c r="J18" s="1" t="s">
        <v>345</v>
      </c>
      <c r="M18" s="1" t="s">
        <v>346</v>
      </c>
      <c r="O18" s="1" t="s">
        <v>347</v>
      </c>
      <c r="Q18" s="1" t="s">
        <v>348</v>
      </c>
      <c r="X18" s="1" t="s">
        <v>349</v>
      </c>
      <c r="Y18" s="1" t="s">
        <v>350</v>
      </c>
      <c r="AB18" s="1" t="s">
        <v>351</v>
      </c>
      <c r="AC18" s="1" t="s">
        <v>352</v>
      </c>
      <c r="AD18" s="1" t="s">
        <v>353</v>
      </c>
      <c r="AE18" s="1" t="s">
        <v>354</v>
      </c>
      <c r="AT18" s="1" t="s">
        <v>57</v>
      </c>
      <c r="AU18" s="1" t="s">
        <v>329</v>
      </c>
      <c r="CA18" s="1">
        <v>14</v>
      </c>
      <c r="CB18" s="1">
        <v>5</v>
      </c>
      <c r="CC18" s="1" t="s">
        <v>265</v>
      </c>
      <c r="CD18" s="1">
        <v>0</v>
      </c>
      <c r="CE18" s="1">
        <v>0</v>
      </c>
      <c r="CG18" s="1">
        <v>0</v>
      </c>
      <c r="CH18" s="1">
        <v>0</v>
      </c>
      <c r="CJ18" s="1">
        <v>0</v>
      </c>
      <c r="CK18" s="1">
        <v>0</v>
      </c>
      <c r="CM18" s="1">
        <v>0</v>
      </c>
      <c r="CN18" s="1">
        <v>0</v>
      </c>
      <c r="CP18" s="1">
        <v>0</v>
      </c>
      <c r="CQ18" s="1">
        <v>0</v>
      </c>
    </row>
    <row r="19" spans="1:96" x14ac:dyDescent="0.3">
      <c r="A19" s="1">
        <v>14</v>
      </c>
      <c r="B19" s="1">
        <v>2</v>
      </c>
      <c r="C19" s="1" t="s">
        <v>355</v>
      </c>
      <c r="D19" s="1">
        <v>11</v>
      </c>
      <c r="F19" s="1" t="s">
        <v>356</v>
      </c>
      <c r="G19" s="1" t="s">
        <v>57</v>
      </c>
      <c r="H19" s="1" t="s">
        <v>357</v>
      </c>
      <c r="I19" s="1" t="s">
        <v>358</v>
      </c>
      <c r="J19" s="1" t="s">
        <v>359</v>
      </c>
      <c r="O19" s="1" t="s">
        <v>360</v>
      </c>
      <c r="X19" s="1" t="s">
        <v>361</v>
      </c>
      <c r="Y19" s="1" t="s">
        <v>362</v>
      </c>
      <c r="AC19" s="1" t="s">
        <v>363</v>
      </c>
      <c r="AD19" s="1" t="s">
        <v>364</v>
      </c>
      <c r="AE19" s="1" t="s">
        <v>365</v>
      </c>
      <c r="AT19" s="1" t="s">
        <v>57</v>
      </c>
      <c r="AU19" s="1" t="s">
        <v>366</v>
      </c>
      <c r="BO19" s="1" t="s">
        <v>367</v>
      </c>
      <c r="CA19" s="1">
        <v>13</v>
      </c>
      <c r="CB19" s="1">
        <v>1</v>
      </c>
      <c r="CC19" s="1" t="s">
        <v>368</v>
      </c>
      <c r="CD19" s="1">
        <v>11</v>
      </c>
      <c r="CE19" s="1">
        <v>1</v>
      </c>
      <c r="CF19" s="1" t="s">
        <v>212</v>
      </c>
      <c r="CG19" s="1">
        <v>0</v>
      </c>
      <c r="CH19" s="1">
        <v>0</v>
      </c>
      <c r="CJ19" s="1">
        <v>0</v>
      </c>
      <c r="CK19" s="1">
        <v>0</v>
      </c>
      <c r="CM19" s="1">
        <v>0</v>
      </c>
      <c r="CN19" s="1">
        <v>0</v>
      </c>
      <c r="CP19" s="1">
        <v>0</v>
      </c>
      <c r="CQ19" s="1">
        <v>0</v>
      </c>
    </row>
    <row r="20" spans="1:96" x14ac:dyDescent="0.3">
      <c r="A20" s="1">
        <v>14</v>
      </c>
      <c r="B20" s="1">
        <v>3</v>
      </c>
      <c r="C20" s="1" t="s">
        <v>369</v>
      </c>
      <c r="D20" s="1">
        <v>11</v>
      </c>
      <c r="F20" s="1" t="s">
        <v>356</v>
      </c>
      <c r="G20" s="1" t="s">
        <v>231</v>
      </c>
      <c r="H20" s="1" t="s">
        <v>370</v>
      </c>
      <c r="I20" s="1" t="s">
        <v>371</v>
      </c>
      <c r="J20" s="1" t="s">
        <v>372</v>
      </c>
      <c r="O20" s="1" t="s">
        <v>373</v>
      </c>
      <c r="X20" s="1" t="s">
        <v>374</v>
      </c>
      <c r="Y20" s="1" t="s">
        <v>375</v>
      </c>
      <c r="AC20" s="1" t="s">
        <v>376</v>
      </c>
      <c r="AD20" s="1" t="s">
        <v>377</v>
      </c>
      <c r="AE20" s="1" t="s">
        <v>378</v>
      </c>
      <c r="AT20" s="1" t="s">
        <v>57</v>
      </c>
      <c r="AU20" s="1" t="s">
        <v>379</v>
      </c>
      <c r="BO20" s="1" t="s">
        <v>380</v>
      </c>
      <c r="CA20" s="1">
        <v>13</v>
      </c>
      <c r="CB20" s="1">
        <v>2</v>
      </c>
      <c r="CC20" s="1" t="s">
        <v>199</v>
      </c>
      <c r="CD20" s="1">
        <v>11</v>
      </c>
      <c r="CE20" s="1">
        <v>2</v>
      </c>
      <c r="CF20" s="1" t="s">
        <v>197</v>
      </c>
      <c r="CG20" s="1">
        <v>0</v>
      </c>
      <c r="CH20" s="1">
        <v>0</v>
      </c>
      <c r="CJ20" s="1">
        <v>0</v>
      </c>
      <c r="CK20" s="1">
        <v>0</v>
      </c>
      <c r="CM20" s="1">
        <v>0</v>
      </c>
      <c r="CN20" s="1">
        <v>0</v>
      </c>
      <c r="CP20" s="1">
        <v>0</v>
      </c>
      <c r="CQ20" s="1">
        <v>0</v>
      </c>
    </row>
    <row r="21" spans="1:96" x14ac:dyDescent="0.3">
      <c r="A21" s="1">
        <v>13</v>
      </c>
      <c r="B21" s="1">
        <v>2</v>
      </c>
      <c r="C21" s="1" t="s">
        <v>381</v>
      </c>
      <c r="D21" s="1">
        <v>14</v>
      </c>
      <c r="F21" s="1" t="s">
        <v>356</v>
      </c>
      <c r="G21" s="1" t="s">
        <v>57</v>
      </c>
      <c r="H21" s="1" t="s">
        <v>382</v>
      </c>
      <c r="I21" s="1" t="s">
        <v>383</v>
      </c>
      <c r="J21" s="1" t="s">
        <v>384</v>
      </c>
      <c r="K21" s="1" t="s">
        <v>385</v>
      </c>
      <c r="L21" s="1" t="s">
        <v>386</v>
      </c>
      <c r="O21" s="1" t="s">
        <v>387</v>
      </c>
      <c r="X21" s="1" t="s">
        <v>388</v>
      </c>
      <c r="Y21" s="1" t="s">
        <v>389</v>
      </c>
      <c r="AB21" s="1" t="s">
        <v>390</v>
      </c>
      <c r="AC21" s="1" t="s">
        <v>391</v>
      </c>
      <c r="AD21" s="1" t="s">
        <v>392</v>
      </c>
      <c r="AE21" s="1" t="s">
        <v>393</v>
      </c>
      <c r="AT21" s="1" t="s">
        <v>57</v>
      </c>
      <c r="AU21" s="1" t="s">
        <v>394</v>
      </c>
      <c r="BO21" s="1" t="s">
        <v>395</v>
      </c>
      <c r="CA21" s="1">
        <v>12</v>
      </c>
      <c r="CB21" s="1">
        <v>1</v>
      </c>
      <c r="CC21" s="1" t="s">
        <v>214</v>
      </c>
      <c r="CD21" s="1">
        <v>10</v>
      </c>
      <c r="CE21" s="1">
        <v>1</v>
      </c>
      <c r="CF21" s="1" t="s">
        <v>228</v>
      </c>
      <c r="CG21" s="1">
        <v>0</v>
      </c>
      <c r="CH21" s="1">
        <v>0</v>
      </c>
      <c r="CJ21" s="1">
        <v>0</v>
      </c>
      <c r="CK21" s="1">
        <v>0</v>
      </c>
      <c r="CM21" s="1">
        <v>0</v>
      </c>
      <c r="CN21" s="1">
        <v>0</v>
      </c>
      <c r="CP21" s="1">
        <v>0</v>
      </c>
      <c r="CQ21" s="1">
        <v>0</v>
      </c>
    </row>
    <row r="22" spans="1:96" x14ac:dyDescent="0.3">
      <c r="A22" s="1">
        <v>13</v>
      </c>
      <c r="B22" s="1">
        <v>3</v>
      </c>
      <c r="C22" s="1" t="s">
        <v>396</v>
      </c>
      <c r="D22" s="1">
        <v>13</v>
      </c>
      <c r="F22" s="1" t="s">
        <v>356</v>
      </c>
      <c r="G22" s="1" t="s">
        <v>57</v>
      </c>
      <c r="H22" s="1" t="s">
        <v>397</v>
      </c>
      <c r="I22" s="1" t="s">
        <v>398</v>
      </c>
      <c r="K22" s="1" t="s">
        <v>399</v>
      </c>
      <c r="L22" s="1" t="s">
        <v>400</v>
      </c>
      <c r="M22" s="1" t="s">
        <v>401</v>
      </c>
      <c r="O22" s="1" t="s">
        <v>402</v>
      </c>
      <c r="X22" s="1" t="s">
        <v>403</v>
      </c>
      <c r="Y22" s="1" t="s">
        <v>404</v>
      </c>
      <c r="AB22" s="1" t="s">
        <v>405</v>
      </c>
      <c r="AD22" s="1" t="s">
        <v>406</v>
      </c>
      <c r="AE22" s="1" t="s">
        <v>407</v>
      </c>
      <c r="AT22" s="1" t="s">
        <v>57</v>
      </c>
      <c r="AU22" s="1" t="s">
        <v>408</v>
      </c>
      <c r="BO22" s="1" t="s">
        <v>409</v>
      </c>
      <c r="CA22" s="1">
        <v>12</v>
      </c>
      <c r="CB22" s="1">
        <v>2</v>
      </c>
      <c r="CC22" s="1" t="s">
        <v>184</v>
      </c>
      <c r="CD22" s="1">
        <v>10</v>
      </c>
      <c r="CE22" s="1">
        <v>2</v>
      </c>
      <c r="CF22" s="1" t="s">
        <v>248</v>
      </c>
      <c r="CG22" s="1">
        <v>0</v>
      </c>
      <c r="CH22" s="1">
        <v>0</v>
      </c>
      <c r="CJ22" s="1">
        <v>0</v>
      </c>
      <c r="CK22" s="1">
        <v>0</v>
      </c>
      <c r="CM22" s="1">
        <v>0</v>
      </c>
      <c r="CN22" s="1">
        <v>0</v>
      </c>
      <c r="CP22" s="1">
        <v>0</v>
      </c>
      <c r="CQ22" s="1">
        <v>0</v>
      </c>
    </row>
    <row r="23" spans="1:96" x14ac:dyDescent="0.3">
      <c r="A23" s="1">
        <v>12</v>
      </c>
      <c r="B23" s="1">
        <v>2</v>
      </c>
      <c r="C23" s="1" t="s">
        <v>410</v>
      </c>
      <c r="D23" s="1">
        <v>11</v>
      </c>
      <c r="F23" s="1" t="s">
        <v>356</v>
      </c>
      <c r="G23" s="1" t="s">
        <v>57</v>
      </c>
      <c r="H23" s="1" t="s">
        <v>411</v>
      </c>
      <c r="K23" s="1" t="s">
        <v>412</v>
      </c>
      <c r="M23" s="1" t="s">
        <v>413</v>
      </c>
      <c r="O23" s="1" t="s">
        <v>414</v>
      </c>
      <c r="X23" s="1" t="s">
        <v>415</v>
      </c>
      <c r="Y23" s="1" t="s">
        <v>416</v>
      </c>
      <c r="AB23" s="1" t="s">
        <v>417</v>
      </c>
      <c r="AD23" s="1" t="s">
        <v>418</v>
      </c>
      <c r="AE23" s="1" t="s">
        <v>419</v>
      </c>
      <c r="AT23" s="1" t="s">
        <v>57</v>
      </c>
      <c r="AU23" s="1" t="s">
        <v>420</v>
      </c>
      <c r="BO23" s="1" t="s">
        <v>421</v>
      </c>
      <c r="CA23" s="1">
        <v>11</v>
      </c>
      <c r="CB23" s="1">
        <v>1</v>
      </c>
      <c r="CC23" s="1" t="s">
        <v>212</v>
      </c>
      <c r="CD23" s="1">
        <v>9</v>
      </c>
      <c r="CE23" s="1">
        <v>1</v>
      </c>
      <c r="CF23" s="1" t="s">
        <v>422</v>
      </c>
      <c r="CG23" s="1">
        <v>0</v>
      </c>
      <c r="CH23" s="1">
        <v>0</v>
      </c>
      <c r="CJ23" s="1">
        <v>0</v>
      </c>
      <c r="CK23" s="1">
        <v>0</v>
      </c>
      <c r="CM23" s="1">
        <v>0</v>
      </c>
      <c r="CN23" s="1">
        <v>0</v>
      </c>
      <c r="CP23" s="1">
        <v>0</v>
      </c>
      <c r="CQ23" s="1">
        <v>0</v>
      </c>
    </row>
    <row r="24" spans="1:96" x14ac:dyDescent="0.3">
      <c r="A24" s="1">
        <v>12</v>
      </c>
      <c r="B24" s="1">
        <v>3</v>
      </c>
      <c r="C24" s="1" t="s">
        <v>423</v>
      </c>
      <c r="D24" s="1">
        <v>14</v>
      </c>
      <c r="F24" s="1" t="s">
        <v>356</v>
      </c>
      <c r="G24" s="1" t="s">
        <v>57</v>
      </c>
      <c r="H24" s="1" t="s">
        <v>424</v>
      </c>
      <c r="I24" s="1" t="s">
        <v>425</v>
      </c>
      <c r="J24" s="1" t="s">
        <v>426</v>
      </c>
      <c r="K24" s="1" t="s">
        <v>427</v>
      </c>
      <c r="M24" s="1" t="s">
        <v>428</v>
      </c>
      <c r="O24" s="1" t="s">
        <v>429</v>
      </c>
      <c r="X24" s="1" t="s">
        <v>430</v>
      </c>
      <c r="Y24" s="1" t="s">
        <v>431</v>
      </c>
      <c r="AB24" s="1" t="s">
        <v>432</v>
      </c>
      <c r="AC24" s="1" t="s">
        <v>433</v>
      </c>
      <c r="AD24" s="1" t="s">
        <v>434</v>
      </c>
      <c r="AE24" s="1" t="s">
        <v>435</v>
      </c>
      <c r="AT24" s="1" t="s">
        <v>57</v>
      </c>
      <c r="AU24" s="1" t="s">
        <v>436</v>
      </c>
      <c r="BO24" s="1" t="s">
        <v>437</v>
      </c>
      <c r="CA24" s="1">
        <v>11</v>
      </c>
      <c r="CB24" s="1">
        <v>2</v>
      </c>
      <c r="CC24" s="1" t="s">
        <v>197</v>
      </c>
      <c r="CD24" s="1">
        <v>9</v>
      </c>
      <c r="CE24" s="1">
        <v>2</v>
      </c>
      <c r="CF24" s="1" t="s">
        <v>266</v>
      </c>
      <c r="CG24" s="1">
        <v>0</v>
      </c>
      <c r="CH24" s="1">
        <v>0</v>
      </c>
      <c r="CJ24" s="1">
        <v>0</v>
      </c>
      <c r="CK24" s="1">
        <v>0</v>
      </c>
      <c r="CM24" s="1">
        <v>0</v>
      </c>
      <c r="CN24" s="1">
        <v>0</v>
      </c>
      <c r="CP24" s="1">
        <v>0</v>
      </c>
      <c r="CQ24" s="1">
        <v>0</v>
      </c>
    </row>
    <row r="25" spans="1:96" x14ac:dyDescent="0.3">
      <c r="A25" s="1">
        <v>11</v>
      </c>
      <c r="B25" s="1">
        <v>2</v>
      </c>
      <c r="C25" s="1" t="s">
        <v>438</v>
      </c>
      <c r="D25" s="1">
        <v>14</v>
      </c>
      <c r="F25" s="1" t="s">
        <v>356</v>
      </c>
      <c r="G25" s="1" t="s">
        <v>57</v>
      </c>
      <c r="H25" s="1" t="s">
        <v>439</v>
      </c>
      <c r="I25" s="1" t="s">
        <v>440</v>
      </c>
      <c r="J25" s="1" t="s">
        <v>441</v>
      </c>
      <c r="L25" s="1" t="s">
        <v>442</v>
      </c>
      <c r="M25" s="1" t="s">
        <v>443</v>
      </c>
      <c r="X25" s="1" t="s">
        <v>444</v>
      </c>
      <c r="Y25" s="1" t="s">
        <v>445</v>
      </c>
      <c r="Z25" s="1" t="s">
        <v>446</v>
      </c>
      <c r="AB25" s="1" t="s">
        <v>447</v>
      </c>
      <c r="AC25" s="1" t="s">
        <v>448</v>
      </c>
      <c r="AD25" s="1" t="s">
        <v>449</v>
      </c>
      <c r="AE25" s="1" t="s">
        <v>450</v>
      </c>
      <c r="AT25" s="1" t="s">
        <v>57</v>
      </c>
      <c r="AU25" s="1" t="s">
        <v>451</v>
      </c>
      <c r="BO25" s="1" t="s">
        <v>452</v>
      </c>
      <c r="CA25" s="1">
        <v>10</v>
      </c>
      <c r="CB25" s="1">
        <v>1</v>
      </c>
      <c r="CC25" s="1" t="s">
        <v>228</v>
      </c>
      <c r="CD25" s="1">
        <v>8</v>
      </c>
      <c r="CE25" s="1">
        <v>1</v>
      </c>
      <c r="CF25" s="1" t="s">
        <v>453</v>
      </c>
      <c r="CG25" s="1">
        <v>17</v>
      </c>
      <c r="CH25" s="1">
        <v>4</v>
      </c>
      <c r="CI25" s="1" t="s">
        <v>264</v>
      </c>
      <c r="CJ25" s="1">
        <v>9</v>
      </c>
      <c r="CK25" s="1">
        <v>1</v>
      </c>
      <c r="CL25" s="1" t="s">
        <v>422</v>
      </c>
      <c r="CM25" s="1">
        <v>0</v>
      </c>
      <c r="CN25" s="1">
        <v>0</v>
      </c>
      <c r="CP25" s="1">
        <v>0</v>
      </c>
      <c r="CQ25" s="1">
        <v>0</v>
      </c>
    </row>
    <row r="26" spans="1:96" x14ac:dyDescent="0.3">
      <c r="A26" s="1">
        <v>11</v>
      </c>
      <c r="B26" s="1">
        <v>3</v>
      </c>
      <c r="C26" s="1" t="s">
        <v>454</v>
      </c>
      <c r="D26" s="1">
        <v>14</v>
      </c>
      <c r="F26" s="1" t="s">
        <v>356</v>
      </c>
      <c r="G26" s="1" t="s">
        <v>57</v>
      </c>
      <c r="H26" s="1" t="s">
        <v>455</v>
      </c>
      <c r="I26" s="1" t="s">
        <v>456</v>
      </c>
      <c r="J26" s="1" t="s">
        <v>457</v>
      </c>
      <c r="L26" s="1" t="s">
        <v>458</v>
      </c>
      <c r="M26" s="1" t="s">
        <v>459</v>
      </c>
      <c r="X26" s="1" t="s">
        <v>460</v>
      </c>
      <c r="Y26" s="1" t="s">
        <v>461</v>
      </c>
      <c r="Z26" s="1" t="s">
        <v>462</v>
      </c>
      <c r="AB26" s="1" t="s">
        <v>463</v>
      </c>
      <c r="AC26" s="1" t="s">
        <v>464</v>
      </c>
      <c r="AD26" s="1" t="s">
        <v>465</v>
      </c>
      <c r="AE26" s="1" t="s">
        <v>466</v>
      </c>
      <c r="AT26" s="1" t="s">
        <v>57</v>
      </c>
      <c r="AU26" s="1" t="s">
        <v>467</v>
      </c>
      <c r="BO26" s="1" t="s">
        <v>468</v>
      </c>
      <c r="CA26" s="1">
        <v>10</v>
      </c>
      <c r="CB26" s="1">
        <v>2</v>
      </c>
      <c r="CC26" s="1" t="s">
        <v>248</v>
      </c>
      <c r="CD26" s="1">
        <v>8</v>
      </c>
      <c r="CE26" s="1">
        <v>2</v>
      </c>
      <c r="CF26" s="1" t="s">
        <v>469</v>
      </c>
      <c r="CG26" s="1">
        <v>16</v>
      </c>
      <c r="CH26" s="1">
        <v>4</v>
      </c>
      <c r="CI26" s="1" t="s">
        <v>296</v>
      </c>
      <c r="CJ26" s="1">
        <v>8</v>
      </c>
      <c r="CK26" s="1">
        <v>2</v>
      </c>
      <c r="CL26" s="1" t="s">
        <v>469</v>
      </c>
      <c r="CM26" s="1">
        <v>8</v>
      </c>
      <c r="CN26" s="1">
        <v>2</v>
      </c>
      <c r="CO26" s="1" t="s">
        <v>469</v>
      </c>
      <c r="CP26" s="1">
        <v>10</v>
      </c>
      <c r="CQ26" s="1">
        <v>1</v>
      </c>
      <c r="CR26" s="1" t="s">
        <v>228</v>
      </c>
    </row>
    <row r="27" spans="1:96" x14ac:dyDescent="0.3">
      <c r="A27" s="1">
        <v>14</v>
      </c>
      <c r="B27" s="1">
        <v>4</v>
      </c>
      <c r="C27" s="1" t="s">
        <v>366</v>
      </c>
      <c r="D27" s="1">
        <v>12</v>
      </c>
      <c r="F27" s="1" t="s">
        <v>356</v>
      </c>
      <c r="G27" s="1" t="s">
        <v>57</v>
      </c>
      <c r="H27" s="1" t="s">
        <v>470</v>
      </c>
      <c r="I27" s="1" t="s">
        <v>471</v>
      </c>
      <c r="J27" s="1" t="s">
        <v>472</v>
      </c>
      <c r="L27" s="1" t="s">
        <v>473</v>
      </c>
      <c r="M27" s="1" t="s">
        <v>474</v>
      </c>
      <c r="O27" s="1" t="s">
        <v>475</v>
      </c>
      <c r="X27" s="1" t="s">
        <v>476</v>
      </c>
      <c r="Y27" s="1" t="s">
        <v>477</v>
      </c>
      <c r="AC27" s="1" t="s">
        <v>478</v>
      </c>
      <c r="AD27" s="1" t="s">
        <v>479</v>
      </c>
      <c r="AT27" s="1" t="s">
        <v>57</v>
      </c>
      <c r="AU27" s="1" t="s">
        <v>342</v>
      </c>
      <c r="BO27" s="1" t="s">
        <v>480</v>
      </c>
      <c r="CA27" s="1">
        <v>13</v>
      </c>
      <c r="CB27" s="1">
        <v>3</v>
      </c>
      <c r="CC27" s="1" t="s">
        <v>481</v>
      </c>
      <c r="CD27" s="1">
        <v>10</v>
      </c>
      <c r="CE27" s="1">
        <v>3</v>
      </c>
      <c r="CF27" s="1" t="s">
        <v>482</v>
      </c>
      <c r="CG27" s="1">
        <v>0</v>
      </c>
      <c r="CH27" s="1">
        <v>0</v>
      </c>
      <c r="CJ27" s="1">
        <v>0</v>
      </c>
      <c r="CK27" s="1">
        <v>0</v>
      </c>
      <c r="CM27" s="1">
        <v>0</v>
      </c>
      <c r="CN27" s="1">
        <v>0</v>
      </c>
      <c r="CP27" s="1">
        <v>0</v>
      </c>
      <c r="CQ27" s="1">
        <v>0</v>
      </c>
    </row>
    <row r="28" spans="1:96" x14ac:dyDescent="0.3">
      <c r="A28" s="1">
        <v>14</v>
      </c>
      <c r="B28" s="1">
        <v>5</v>
      </c>
      <c r="C28" s="1" t="s">
        <v>379</v>
      </c>
      <c r="D28" s="1">
        <v>13</v>
      </c>
      <c r="F28" s="1" t="s">
        <v>356</v>
      </c>
      <c r="G28" s="1" t="s">
        <v>57</v>
      </c>
      <c r="H28" s="1" t="s">
        <v>483</v>
      </c>
      <c r="I28" s="1" t="s">
        <v>484</v>
      </c>
      <c r="J28" s="1" t="s">
        <v>485</v>
      </c>
      <c r="L28" s="1" t="s">
        <v>486</v>
      </c>
      <c r="M28" s="1" t="s">
        <v>487</v>
      </c>
      <c r="O28" s="1" t="s">
        <v>488</v>
      </c>
      <c r="X28" s="1" t="s">
        <v>489</v>
      </c>
      <c r="Y28" s="1" t="s">
        <v>490</v>
      </c>
      <c r="AC28" s="1" t="s">
        <v>491</v>
      </c>
      <c r="AD28" s="1" t="s">
        <v>492</v>
      </c>
      <c r="AT28" s="1" t="s">
        <v>57</v>
      </c>
      <c r="AU28" s="1" t="s">
        <v>355</v>
      </c>
      <c r="BO28" s="1" t="s">
        <v>493</v>
      </c>
      <c r="CA28" s="1">
        <v>13</v>
      </c>
      <c r="CB28" s="1">
        <v>4</v>
      </c>
      <c r="CC28" s="1" t="s">
        <v>139</v>
      </c>
      <c r="CD28" s="1">
        <v>10</v>
      </c>
      <c r="CE28" s="1">
        <v>4</v>
      </c>
      <c r="CF28" s="1" t="s">
        <v>494</v>
      </c>
      <c r="CG28" s="1">
        <v>0</v>
      </c>
      <c r="CH28" s="1">
        <v>0</v>
      </c>
      <c r="CJ28" s="1">
        <v>0</v>
      </c>
      <c r="CK28" s="1">
        <v>0</v>
      </c>
      <c r="CM28" s="1">
        <v>0</v>
      </c>
      <c r="CN28" s="1">
        <v>0</v>
      </c>
      <c r="CP28" s="1">
        <v>0</v>
      </c>
      <c r="CQ28" s="1">
        <v>0</v>
      </c>
    </row>
    <row r="29" spans="1:96" x14ac:dyDescent="0.3">
      <c r="A29" s="1">
        <v>14</v>
      </c>
      <c r="B29" s="1">
        <v>6</v>
      </c>
      <c r="C29" s="1" t="s">
        <v>394</v>
      </c>
      <c r="D29" s="1">
        <v>13</v>
      </c>
      <c r="F29" s="1" t="s">
        <v>356</v>
      </c>
      <c r="G29" s="1" t="s">
        <v>231</v>
      </c>
      <c r="H29" s="1" t="s">
        <v>495</v>
      </c>
      <c r="I29" s="1" t="s">
        <v>496</v>
      </c>
      <c r="J29" s="1" t="s">
        <v>497</v>
      </c>
      <c r="K29" s="1" t="s">
        <v>498</v>
      </c>
      <c r="M29" s="1" t="s">
        <v>499</v>
      </c>
      <c r="O29" s="1" t="s">
        <v>500</v>
      </c>
      <c r="X29" s="1" t="s">
        <v>501</v>
      </c>
      <c r="Y29" s="1" t="s">
        <v>502</v>
      </c>
      <c r="AB29" s="1" t="s">
        <v>503</v>
      </c>
      <c r="AC29" s="1" t="s">
        <v>504</v>
      </c>
      <c r="AD29" s="1" t="s">
        <v>505</v>
      </c>
      <c r="AT29" s="1" t="s">
        <v>57</v>
      </c>
      <c r="AU29" s="1" t="s">
        <v>369</v>
      </c>
      <c r="BO29" s="1" t="s">
        <v>506</v>
      </c>
      <c r="CA29" s="1">
        <v>13</v>
      </c>
      <c r="CB29" s="1">
        <v>5</v>
      </c>
      <c r="CC29" s="1" t="s">
        <v>507</v>
      </c>
      <c r="CD29" s="1">
        <v>9</v>
      </c>
      <c r="CE29" s="1">
        <v>3</v>
      </c>
      <c r="CF29" s="1" t="s">
        <v>508</v>
      </c>
      <c r="CG29" s="1">
        <v>0</v>
      </c>
      <c r="CH29" s="1">
        <v>0</v>
      </c>
      <c r="CJ29" s="1">
        <v>0</v>
      </c>
      <c r="CK29" s="1">
        <v>0</v>
      </c>
      <c r="CM29" s="1">
        <v>0</v>
      </c>
      <c r="CN29" s="1">
        <v>0</v>
      </c>
      <c r="CP29" s="1">
        <v>0</v>
      </c>
      <c r="CQ29" s="1">
        <v>0</v>
      </c>
    </row>
    <row r="30" spans="1:96" x14ac:dyDescent="0.3">
      <c r="A30" s="1">
        <v>13</v>
      </c>
      <c r="B30" s="1">
        <v>4</v>
      </c>
      <c r="C30" s="1" t="s">
        <v>408</v>
      </c>
      <c r="D30" s="1">
        <v>9</v>
      </c>
      <c r="F30" s="1" t="s">
        <v>356</v>
      </c>
      <c r="G30" s="1" t="s">
        <v>57</v>
      </c>
      <c r="H30" s="1" t="s">
        <v>509</v>
      </c>
      <c r="K30" s="1" t="s">
        <v>510</v>
      </c>
      <c r="M30" s="1" t="s">
        <v>511</v>
      </c>
      <c r="X30" s="1" t="s">
        <v>512</v>
      </c>
      <c r="Y30" s="1" t="s">
        <v>513</v>
      </c>
      <c r="AB30" s="1" t="s">
        <v>514</v>
      </c>
      <c r="AD30" s="1" t="s">
        <v>515</v>
      </c>
      <c r="AT30" s="1" t="s">
        <v>57</v>
      </c>
      <c r="AU30" s="1" t="s">
        <v>381</v>
      </c>
      <c r="BO30" s="1" t="s">
        <v>516</v>
      </c>
      <c r="CA30" s="1">
        <v>12</v>
      </c>
      <c r="CB30" s="1">
        <v>3</v>
      </c>
      <c r="CC30" s="1" t="s">
        <v>154</v>
      </c>
      <c r="CD30" s="1">
        <v>9</v>
      </c>
      <c r="CE30" s="1">
        <v>4</v>
      </c>
      <c r="CF30" s="1" t="s">
        <v>517</v>
      </c>
      <c r="CG30" s="1">
        <v>0</v>
      </c>
      <c r="CH30" s="1">
        <v>0</v>
      </c>
      <c r="CJ30" s="1">
        <v>0</v>
      </c>
      <c r="CK30" s="1">
        <v>0</v>
      </c>
      <c r="CM30" s="1">
        <v>0</v>
      </c>
      <c r="CN30" s="1">
        <v>0</v>
      </c>
      <c r="CP30" s="1">
        <v>0</v>
      </c>
      <c r="CQ30" s="1">
        <v>0</v>
      </c>
    </row>
    <row r="31" spans="1:96" x14ac:dyDescent="0.3">
      <c r="A31" s="1">
        <v>13</v>
      </c>
      <c r="B31" s="1">
        <v>5</v>
      </c>
      <c r="C31" s="1" t="s">
        <v>420</v>
      </c>
      <c r="D31" s="1">
        <v>11</v>
      </c>
      <c r="F31" s="1" t="s">
        <v>356</v>
      </c>
      <c r="G31" s="1" t="s">
        <v>57</v>
      </c>
      <c r="H31" s="1" t="s">
        <v>518</v>
      </c>
      <c r="K31" s="1" t="s">
        <v>519</v>
      </c>
      <c r="L31" s="1" t="s">
        <v>520</v>
      </c>
      <c r="M31" s="1" t="s">
        <v>521</v>
      </c>
      <c r="X31" s="1" t="s">
        <v>522</v>
      </c>
      <c r="Y31" s="1" t="s">
        <v>523</v>
      </c>
      <c r="AB31" s="1" t="s">
        <v>524</v>
      </c>
      <c r="AD31" s="1" t="s">
        <v>525</v>
      </c>
      <c r="AT31" s="1" t="s">
        <v>57</v>
      </c>
      <c r="AU31" s="1" t="s">
        <v>396</v>
      </c>
      <c r="BO31" s="1" t="s">
        <v>526</v>
      </c>
      <c r="CA31" s="1">
        <v>12</v>
      </c>
      <c r="CB31" s="1">
        <v>4</v>
      </c>
      <c r="CC31" s="1" t="s">
        <v>124</v>
      </c>
      <c r="CD31" s="1">
        <v>9</v>
      </c>
      <c r="CE31" s="1">
        <v>5</v>
      </c>
      <c r="CF31" s="1" t="s">
        <v>527</v>
      </c>
      <c r="CG31" s="1">
        <v>0</v>
      </c>
      <c r="CH31" s="1">
        <v>0</v>
      </c>
      <c r="CJ31" s="1">
        <v>0</v>
      </c>
      <c r="CK31" s="1">
        <v>0</v>
      </c>
      <c r="CM31" s="1">
        <v>0</v>
      </c>
      <c r="CN31" s="1">
        <v>0</v>
      </c>
      <c r="CP31" s="1">
        <v>0</v>
      </c>
      <c r="CQ31" s="1">
        <v>0</v>
      </c>
    </row>
    <row r="32" spans="1:96" x14ac:dyDescent="0.3">
      <c r="A32" s="1">
        <v>13</v>
      </c>
      <c r="B32" s="1">
        <v>6</v>
      </c>
      <c r="C32" s="1" t="s">
        <v>436</v>
      </c>
      <c r="D32" s="1">
        <v>14</v>
      </c>
      <c r="F32" s="1" t="s">
        <v>356</v>
      </c>
      <c r="G32" s="1" t="s">
        <v>57</v>
      </c>
      <c r="H32" s="1" t="s">
        <v>528</v>
      </c>
      <c r="I32" s="1" t="s">
        <v>529</v>
      </c>
      <c r="J32" s="1" t="s">
        <v>530</v>
      </c>
      <c r="K32" s="1" t="s">
        <v>531</v>
      </c>
      <c r="L32" s="1" t="s">
        <v>532</v>
      </c>
      <c r="M32" s="1" t="s">
        <v>533</v>
      </c>
      <c r="O32" s="1" t="s">
        <v>534</v>
      </c>
      <c r="X32" s="1" t="s">
        <v>535</v>
      </c>
      <c r="Y32" s="1" t="s">
        <v>536</v>
      </c>
      <c r="AB32" s="1" t="s">
        <v>537</v>
      </c>
      <c r="AC32" s="1" t="s">
        <v>538</v>
      </c>
      <c r="AD32" s="1" t="s">
        <v>539</v>
      </c>
      <c r="AT32" s="1" t="s">
        <v>57</v>
      </c>
      <c r="AU32" s="1" t="s">
        <v>410</v>
      </c>
      <c r="BO32" s="1" t="s">
        <v>540</v>
      </c>
      <c r="CA32" s="1">
        <v>12</v>
      </c>
      <c r="CB32" s="1">
        <v>5</v>
      </c>
      <c r="CC32" s="1" t="s">
        <v>541</v>
      </c>
      <c r="CD32" s="1">
        <v>8</v>
      </c>
      <c r="CE32" s="1">
        <v>3</v>
      </c>
      <c r="CF32" s="1" t="s">
        <v>542</v>
      </c>
      <c r="CG32" s="1">
        <v>0</v>
      </c>
      <c r="CH32" s="1">
        <v>0</v>
      </c>
      <c r="CJ32" s="1">
        <v>0</v>
      </c>
      <c r="CK32" s="1">
        <v>0</v>
      </c>
      <c r="CM32" s="1">
        <v>0</v>
      </c>
      <c r="CN32" s="1">
        <v>0</v>
      </c>
      <c r="CP32" s="1">
        <v>0</v>
      </c>
      <c r="CQ32" s="1">
        <v>0</v>
      </c>
    </row>
    <row r="33" spans="1:96" x14ac:dyDescent="0.3">
      <c r="A33" s="1">
        <v>12</v>
      </c>
      <c r="B33" s="1">
        <v>5</v>
      </c>
      <c r="C33" s="1" t="s">
        <v>451</v>
      </c>
      <c r="D33" s="1">
        <v>12</v>
      </c>
      <c r="F33" s="1" t="s">
        <v>356</v>
      </c>
      <c r="G33" s="1" t="s">
        <v>57</v>
      </c>
      <c r="H33" s="1" t="s">
        <v>543</v>
      </c>
      <c r="J33" s="1" t="s">
        <v>544</v>
      </c>
      <c r="M33" s="1" t="s">
        <v>545</v>
      </c>
      <c r="O33" s="1" t="s">
        <v>546</v>
      </c>
      <c r="X33" s="1" t="s">
        <v>547</v>
      </c>
      <c r="Y33" s="1" t="s">
        <v>548</v>
      </c>
      <c r="Z33" s="1" t="s">
        <v>549</v>
      </c>
      <c r="AB33" s="1" t="s">
        <v>550</v>
      </c>
      <c r="AC33" s="1" t="s">
        <v>551</v>
      </c>
      <c r="AD33" s="1" t="s">
        <v>552</v>
      </c>
      <c r="AT33" s="1" t="s">
        <v>57</v>
      </c>
      <c r="AU33" s="1" t="s">
        <v>423</v>
      </c>
      <c r="BO33" s="1" t="s">
        <v>553</v>
      </c>
      <c r="CA33" s="1">
        <v>11</v>
      </c>
      <c r="CB33" s="1">
        <v>4</v>
      </c>
      <c r="CC33" s="1" t="s">
        <v>126</v>
      </c>
      <c r="CD33" s="1">
        <v>8</v>
      </c>
      <c r="CE33" s="1">
        <v>4</v>
      </c>
      <c r="CF33" s="1" t="s">
        <v>554</v>
      </c>
      <c r="CG33" s="1">
        <v>16</v>
      </c>
      <c r="CH33" s="1">
        <v>3</v>
      </c>
      <c r="CI33" s="1" t="s">
        <v>283</v>
      </c>
      <c r="CJ33" s="1">
        <v>8</v>
      </c>
      <c r="CK33" s="1">
        <v>1</v>
      </c>
      <c r="CL33" s="1" t="s">
        <v>453</v>
      </c>
      <c r="CM33" s="1">
        <v>7</v>
      </c>
      <c r="CN33" s="1">
        <v>1</v>
      </c>
      <c r="CO33" s="1" t="s">
        <v>246</v>
      </c>
      <c r="CP33" s="1">
        <v>10</v>
      </c>
      <c r="CQ33" s="1">
        <v>2</v>
      </c>
      <c r="CR33" s="1" t="s">
        <v>248</v>
      </c>
    </row>
    <row r="34" spans="1:96" x14ac:dyDescent="0.3">
      <c r="A34" s="1">
        <v>12</v>
      </c>
      <c r="B34" s="1">
        <v>6</v>
      </c>
      <c r="C34" s="1" t="s">
        <v>467</v>
      </c>
      <c r="D34" s="1">
        <v>13</v>
      </c>
      <c r="F34" s="1" t="s">
        <v>356</v>
      </c>
      <c r="G34" s="1" t="s">
        <v>57</v>
      </c>
      <c r="H34" s="1" t="s">
        <v>555</v>
      </c>
      <c r="I34" s="1" t="s">
        <v>556</v>
      </c>
      <c r="J34" s="1" t="s">
        <v>557</v>
      </c>
      <c r="M34" s="1" t="s">
        <v>558</v>
      </c>
      <c r="O34" s="1" t="s">
        <v>559</v>
      </c>
      <c r="X34" s="1" t="s">
        <v>560</v>
      </c>
      <c r="Y34" s="1" t="s">
        <v>561</v>
      </c>
      <c r="Z34" s="1" t="s">
        <v>562</v>
      </c>
      <c r="AB34" s="1" t="s">
        <v>563</v>
      </c>
      <c r="AC34" s="1" t="s">
        <v>564</v>
      </c>
      <c r="AD34" s="1" t="s">
        <v>565</v>
      </c>
      <c r="AT34" s="1" t="s">
        <v>57</v>
      </c>
      <c r="AU34" s="1" t="s">
        <v>438</v>
      </c>
      <c r="BO34" s="1" t="s">
        <v>566</v>
      </c>
      <c r="CA34" s="1">
        <v>11</v>
      </c>
      <c r="CB34" s="1">
        <v>5</v>
      </c>
      <c r="CC34" s="1" t="s">
        <v>268</v>
      </c>
      <c r="CD34" s="1">
        <v>8</v>
      </c>
      <c r="CE34" s="1">
        <v>5</v>
      </c>
      <c r="CF34" s="1" t="s">
        <v>567</v>
      </c>
      <c r="CG34" s="1">
        <v>17</v>
      </c>
      <c r="CH34" s="1">
        <v>2</v>
      </c>
      <c r="CI34" s="1" t="s">
        <v>121</v>
      </c>
      <c r="CJ34" s="1">
        <v>7</v>
      </c>
      <c r="CK34" s="1">
        <v>2</v>
      </c>
      <c r="CL34" s="1" t="s">
        <v>122</v>
      </c>
      <c r="CM34" s="1">
        <v>7</v>
      </c>
      <c r="CN34" s="1">
        <v>2</v>
      </c>
      <c r="CO34" s="1" t="s">
        <v>122</v>
      </c>
      <c r="CP34" s="1">
        <v>10</v>
      </c>
      <c r="CQ34" s="1">
        <v>3</v>
      </c>
      <c r="CR34" s="1" t="s">
        <v>482</v>
      </c>
    </row>
    <row r="35" spans="1:96" x14ac:dyDescent="0.3">
      <c r="A35" s="1">
        <v>11</v>
      </c>
      <c r="B35" s="1">
        <v>4</v>
      </c>
      <c r="C35" s="1" t="s">
        <v>568</v>
      </c>
      <c r="D35" s="1">
        <v>13</v>
      </c>
      <c r="F35" s="1" t="s">
        <v>569</v>
      </c>
      <c r="G35" s="1" t="s">
        <v>57</v>
      </c>
      <c r="H35" s="1" t="s">
        <v>570</v>
      </c>
      <c r="I35" s="1" t="s">
        <v>571</v>
      </c>
      <c r="J35" s="1" t="s">
        <v>572</v>
      </c>
      <c r="O35" s="1" t="s">
        <v>573</v>
      </c>
      <c r="P35" s="1" t="s">
        <v>574</v>
      </c>
      <c r="Q35" s="1" t="s">
        <v>575</v>
      </c>
      <c r="X35" s="1" t="s">
        <v>576</v>
      </c>
      <c r="Y35" s="1" t="s">
        <v>577</v>
      </c>
      <c r="Z35" s="1" t="s">
        <v>578</v>
      </c>
      <c r="AC35" s="1" t="s">
        <v>579</v>
      </c>
      <c r="AD35" s="1" t="s">
        <v>580</v>
      </c>
      <c r="AN35" s="1" t="s">
        <v>581</v>
      </c>
      <c r="AT35" s="1" t="s">
        <v>57</v>
      </c>
      <c r="AU35" s="1" t="s">
        <v>582</v>
      </c>
      <c r="CA35" s="1">
        <v>10</v>
      </c>
      <c r="CB35" s="1">
        <v>3</v>
      </c>
      <c r="CC35" s="1" t="s">
        <v>482</v>
      </c>
      <c r="CD35" s="1">
        <v>5</v>
      </c>
      <c r="CE35" s="1">
        <v>1</v>
      </c>
      <c r="CF35" s="1" t="s">
        <v>267</v>
      </c>
      <c r="CG35" s="1">
        <v>16</v>
      </c>
      <c r="CH35" s="1">
        <v>1</v>
      </c>
      <c r="CI35" s="1" t="s">
        <v>136</v>
      </c>
      <c r="CJ35" s="1">
        <v>10</v>
      </c>
      <c r="CK35" s="1">
        <v>3</v>
      </c>
      <c r="CL35" s="1" t="s">
        <v>482</v>
      </c>
      <c r="CM35" s="1">
        <v>4</v>
      </c>
      <c r="CN35" s="1">
        <v>1</v>
      </c>
      <c r="CO35" s="1" t="s">
        <v>583</v>
      </c>
      <c r="CP35" s="1">
        <v>9</v>
      </c>
      <c r="CQ35" s="1">
        <v>3</v>
      </c>
      <c r="CR35" s="1" t="s">
        <v>508</v>
      </c>
    </row>
    <row r="36" spans="1:96" x14ac:dyDescent="0.3">
      <c r="A36" s="1">
        <v>11</v>
      </c>
      <c r="B36" s="1">
        <v>5</v>
      </c>
      <c r="C36" s="1" t="s">
        <v>584</v>
      </c>
      <c r="D36" s="1">
        <v>14</v>
      </c>
      <c r="F36" s="1" t="s">
        <v>569</v>
      </c>
      <c r="G36" s="1" t="s">
        <v>57</v>
      </c>
      <c r="H36" s="1" t="s">
        <v>585</v>
      </c>
      <c r="I36" s="1" t="s">
        <v>586</v>
      </c>
      <c r="J36" s="1" t="s">
        <v>587</v>
      </c>
      <c r="O36" s="1" t="s">
        <v>588</v>
      </c>
      <c r="P36" s="1" t="s">
        <v>589</v>
      </c>
      <c r="Q36" s="1" t="s">
        <v>590</v>
      </c>
      <c r="X36" s="1" t="s">
        <v>591</v>
      </c>
      <c r="Y36" s="1" t="s">
        <v>592</v>
      </c>
      <c r="Z36" s="1" t="s">
        <v>593</v>
      </c>
      <c r="AC36" s="1" t="s">
        <v>594</v>
      </c>
      <c r="AD36" s="1" t="s">
        <v>595</v>
      </c>
      <c r="AE36" s="1" t="s">
        <v>596</v>
      </c>
      <c r="AN36" s="1" t="s">
        <v>597</v>
      </c>
      <c r="AT36" s="1" t="s">
        <v>57</v>
      </c>
      <c r="AU36" s="1" t="s">
        <v>598</v>
      </c>
      <c r="CA36" s="1">
        <v>10</v>
      </c>
      <c r="CB36" s="1">
        <v>4</v>
      </c>
      <c r="CC36" s="1" t="s">
        <v>494</v>
      </c>
      <c r="CD36" s="1">
        <v>5</v>
      </c>
      <c r="CE36" s="1">
        <v>2</v>
      </c>
      <c r="CF36" s="1" t="s">
        <v>198</v>
      </c>
      <c r="CG36" s="1">
        <v>16</v>
      </c>
      <c r="CH36" s="1">
        <v>2</v>
      </c>
      <c r="CI36" s="1" t="s">
        <v>151</v>
      </c>
      <c r="CJ36" s="1">
        <v>10</v>
      </c>
      <c r="CK36" s="1">
        <v>4</v>
      </c>
      <c r="CL36" s="1" t="s">
        <v>494</v>
      </c>
      <c r="CM36" s="1">
        <v>3</v>
      </c>
      <c r="CN36" s="1">
        <v>3</v>
      </c>
      <c r="CO36" s="1" t="s">
        <v>599</v>
      </c>
      <c r="CP36" s="1">
        <v>8</v>
      </c>
      <c r="CQ36" s="1">
        <v>3</v>
      </c>
      <c r="CR36" s="1" t="s">
        <v>542</v>
      </c>
    </row>
    <row r="37" spans="1:96" x14ac:dyDescent="0.3">
      <c r="A37" s="1">
        <v>11</v>
      </c>
      <c r="B37" s="1">
        <v>6</v>
      </c>
      <c r="C37" s="1" t="s">
        <v>600</v>
      </c>
      <c r="D37" s="1">
        <v>17</v>
      </c>
      <c r="F37" s="1" t="s">
        <v>569</v>
      </c>
      <c r="G37" s="1" t="s">
        <v>57</v>
      </c>
      <c r="H37" s="1" t="s">
        <v>601</v>
      </c>
      <c r="I37" s="1" t="s">
        <v>602</v>
      </c>
      <c r="J37" s="1" t="s">
        <v>603</v>
      </c>
      <c r="K37" s="1" t="s">
        <v>604</v>
      </c>
      <c r="L37" s="1" t="s">
        <v>605</v>
      </c>
      <c r="O37" s="1" t="s">
        <v>606</v>
      </c>
      <c r="P37" s="1" t="s">
        <v>607</v>
      </c>
      <c r="Q37" s="1" t="s">
        <v>608</v>
      </c>
      <c r="X37" s="1" t="s">
        <v>609</v>
      </c>
      <c r="Y37" s="1" t="s">
        <v>610</v>
      </c>
      <c r="Z37" s="1" t="s">
        <v>611</v>
      </c>
      <c r="AB37" s="1" t="s">
        <v>612</v>
      </c>
      <c r="AC37" s="1" t="s">
        <v>613</v>
      </c>
      <c r="AD37" s="1" t="s">
        <v>614</v>
      </c>
      <c r="AE37" s="1" t="s">
        <v>615</v>
      </c>
      <c r="AN37" s="1" t="s">
        <v>616</v>
      </c>
      <c r="AT37" s="1" t="s">
        <v>57</v>
      </c>
      <c r="AU37" s="1" t="s">
        <v>617</v>
      </c>
      <c r="CA37" s="1">
        <v>10</v>
      </c>
      <c r="CB37" s="1">
        <v>5</v>
      </c>
      <c r="CC37" s="1" t="s">
        <v>618</v>
      </c>
      <c r="CD37" s="1">
        <v>4</v>
      </c>
      <c r="CE37" s="1">
        <v>1</v>
      </c>
      <c r="CF37" s="1" t="s">
        <v>583</v>
      </c>
      <c r="CG37" s="1">
        <v>15</v>
      </c>
      <c r="CH37" s="1">
        <v>2</v>
      </c>
      <c r="CI37" s="1" t="s">
        <v>181</v>
      </c>
      <c r="CJ37" s="1">
        <v>9</v>
      </c>
      <c r="CK37" s="1">
        <v>3</v>
      </c>
      <c r="CL37" s="1" t="s">
        <v>508</v>
      </c>
      <c r="CM37" s="1">
        <v>3</v>
      </c>
      <c r="CN37" s="1">
        <v>1</v>
      </c>
      <c r="CO37" s="1" t="s">
        <v>619</v>
      </c>
      <c r="CP37" s="1">
        <v>8</v>
      </c>
      <c r="CQ37" s="1">
        <v>1</v>
      </c>
      <c r="CR37" s="1" t="s">
        <v>453</v>
      </c>
    </row>
    <row r="38" spans="1:96" x14ac:dyDescent="0.3">
      <c r="A38" s="1">
        <v>10</v>
      </c>
      <c r="B38" s="1">
        <v>4</v>
      </c>
      <c r="C38" s="1" t="s">
        <v>620</v>
      </c>
      <c r="D38" s="1">
        <v>15</v>
      </c>
      <c r="F38" s="1" t="s">
        <v>569</v>
      </c>
      <c r="G38" s="1" t="s">
        <v>231</v>
      </c>
      <c r="H38" s="1" t="s">
        <v>621</v>
      </c>
      <c r="I38" s="1" t="s">
        <v>622</v>
      </c>
      <c r="K38" s="1" t="s">
        <v>623</v>
      </c>
      <c r="L38" s="1" t="s">
        <v>624</v>
      </c>
      <c r="M38" s="1" t="s">
        <v>625</v>
      </c>
      <c r="O38" s="1" t="s">
        <v>626</v>
      </c>
      <c r="P38" s="1" t="s">
        <v>627</v>
      </c>
      <c r="Q38" s="1" t="s">
        <v>628</v>
      </c>
      <c r="X38" s="1" t="s">
        <v>629</v>
      </c>
      <c r="Y38" s="1" t="s">
        <v>630</v>
      </c>
      <c r="Z38" s="1" t="s">
        <v>631</v>
      </c>
      <c r="AB38" s="1" t="s">
        <v>632</v>
      </c>
      <c r="AD38" s="1" t="s">
        <v>633</v>
      </c>
      <c r="AN38" s="1" t="s">
        <v>634</v>
      </c>
      <c r="AT38" s="1" t="s">
        <v>57</v>
      </c>
      <c r="AU38" s="1" t="s">
        <v>635</v>
      </c>
      <c r="CA38" s="1">
        <v>9</v>
      </c>
      <c r="CB38" s="1">
        <v>3</v>
      </c>
      <c r="CC38" s="1" t="s">
        <v>508</v>
      </c>
      <c r="CD38" s="1">
        <v>4</v>
      </c>
      <c r="CE38" s="1">
        <v>2</v>
      </c>
      <c r="CF38" s="1" t="s">
        <v>125</v>
      </c>
      <c r="CG38" s="1">
        <v>14</v>
      </c>
      <c r="CH38" s="1">
        <v>2</v>
      </c>
      <c r="CI38" s="1" t="s">
        <v>209</v>
      </c>
      <c r="CJ38" s="1">
        <v>9</v>
      </c>
      <c r="CK38" s="1">
        <v>4</v>
      </c>
      <c r="CL38" s="1" t="s">
        <v>517</v>
      </c>
      <c r="CM38" s="1">
        <v>3</v>
      </c>
      <c r="CN38" s="1">
        <v>2</v>
      </c>
      <c r="CO38" s="1" t="s">
        <v>636</v>
      </c>
      <c r="CP38" s="1">
        <v>8</v>
      </c>
      <c r="CQ38" s="1">
        <v>2</v>
      </c>
      <c r="CR38" s="1" t="s">
        <v>469</v>
      </c>
    </row>
    <row r="39" spans="1:96" x14ac:dyDescent="0.3">
      <c r="A39" s="1">
        <v>10</v>
      </c>
      <c r="B39" s="1">
        <v>5</v>
      </c>
      <c r="C39" s="1" t="s">
        <v>637</v>
      </c>
      <c r="D39" s="1">
        <v>14</v>
      </c>
      <c r="F39" s="1" t="s">
        <v>569</v>
      </c>
      <c r="G39" s="1" t="s">
        <v>57</v>
      </c>
      <c r="H39" s="1" t="s">
        <v>638</v>
      </c>
      <c r="K39" s="1" t="s">
        <v>639</v>
      </c>
      <c r="M39" s="1" t="s">
        <v>640</v>
      </c>
      <c r="O39" s="1" t="s">
        <v>641</v>
      </c>
      <c r="P39" s="1" t="s">
        <v>642</v>
      </c>
      <c r="Q39" s="1" t="s">
        <v>643</v>
      </c>
      <c r="X39" s="1" t="s">
        <v>644</v>
      </c>
      <c r="Y39" s="1" t="s">
        <v>645</v>
      </c>
      <c r="Z39" s="1" t="s">
        <v>646</v>
      </c>
      <c r="AB39" s="1" t="s">
        <v>647</v>
      </c>
      <c r="AD39" s="1" t="s">
        <v>648</v>
      </c>
      <c r="AE39" s="1" t="s">
        <v>649</v>
      </c>
      <c r="AN39" s="1" t="s">
        <v>650</v>
      </c>
      <c r="AT39" s="1" t="s">
        <v>57</v>
      </c>
      <c r="AU39" s="1" t="s">
        <v>651</v>
      </c>
      <c r="CA39" s="1">
        <v>9</v>
      </c>
      <c r="CB39" s="1">
        <v>4</v>
      </c>
      <c r="CC39" s="1" t="s">
        <v>517</v>
      </c>
      <c r="CD39" s="1">
        <v>3</v>
      </c>
      <c r="CE39" s="1">
        <v>1</v>
      </c>
      <c r="CF39" s="1" t="s">
        <v>619</v>
      </c>
      <c r="CG39" s="1">
        <v>14</v>
      </c>
      <c r="CH39" s="1">
        <v>1</v>
      </c>
      <c r="CI39" s="1" t="s">
        <v>195</v>
      </c>
      <c r="CJ39" s="1">
        <v>8</v>
      </c>
      <c r="CK39" s="1">
        <v>3</v>
      </c>
      <c r="CL39" s="1" t="s">
        <v>542</v>
      </c>
      <c r="CM39" s="1">
        <v>2</v>
      </c>
      <c r="CN39" s="1">
        <v>1</v>
      </c>
      <c r="CO39" s="1" t="s">
        <v>652</v>
      </c>
      <c r="CP39" s="1">
        <v>7</v>
      </c>
      <c r="CQ39" s="1">
        <v>2</v>
      </c>
      <c r="CR39" s="1" t="s">
        <v>122</v>
      </c>
    </row>
    <row r="40" spans="1:96" x14ac:dyDescent="0.3">
      <c r="A40" s="1">
        <v>10</v>
      </c>
      <c r="B40" s="1">
        <v>6</v>
      </c>
      <c r="C40" s="1" t="s">
        <v>653</v>
      </c>
      <c r="D40" s="1">
        <v>17</v>
      </c>
      <c r="F40" s="1" t="s">
        <v>569</v>
      </c>
      <c r="G40" s="1" t="s">
        <v>57</v>
      </c>
      <c r="H40" s="1" t="s">
        <v>654</v>
      </c>
      <c r="I40" s="1" t="s">
        <v>655</v>
      </c>
      <c r="J40" s="1" t="s">
        <v>656</v>
      </c>
      <c r="K40" s="1" t="s">
        <v>657</v>
      </c>
      <c r="M40" s="1" t="s">
        <v>658</v>
      </c>
      <c r="O40" s="1" t="s">
        <v>659</v>
      </c>
      <c r="P40" s="1" t="s">
        <v>660</v>
      </c>
      <c r="Q40" s="1" t="s">
        <v>661</v>
      </c>
      <c r="X40" s="1" t="s">
        <v>662</v>
      </c>
      <c r="Y40" s="1" t="s">
        <v>663</v>
      </c>
      <c r="Z40" s="1" t="s">
        <v>664</v>
      </c>
      <c r="AB40" s="1" t="s">
        <v>665</v>
      </c>
      <c r="AC40" s="1" t="s">
        <v>666</v>
      </c>
      <c r="AD40" s="1" t="s">
        <v>667</v>
      </c>
      <c r="AE40" s="1" t="s">
        <v>668</v>
      </c>
      <c r="AN40" s="1" t="s">
        <v>669</v>
      </c>
      <c r="AT40" s="1" t="s">
        <v>57</v>
      </c>
      <c r="AU40" s="1" t="s">
        <v>670</v>
      </c>
      <c r="CA40" s="1">
        <v>9</v>
      </c>
      <c r="CB40" s="1">
        <v>5</v>
      </c>
      <c r="CC40" s="1" t="s">
        <v>527</v>
      </c>
      <c r="CD40" s="1">
        <v>3</v>
      </c>
      <c r="CE40" s="1">
        <v>2</v>
      </c>
      <c r="CF40" s="1" t="s">
        <v>636</v>
      </c>
      <c r="CG40" s="1">
        <v>14</v>
      </c>
      <c r="CH40" s="1">
        <v>3</v>
      </c>
      <c r="CI40" s="1" t="s">
        <v>225</v>
      </c>
      <c r="CJ40" s="1">
        <v>8</v>
      </c>
      <c r="CK40" s="1">
        <v>4</v>
      </c>
      <c r="CL40" s="1" t="s">
        <v>554</v>
      </c>
      <c r="CM40" s="1">
        <v>1</v>
      </c>
      <c r="CN40" s="1">
        <v>2</v>
      </c>
      <c r="CO40" s="1" t="s">
        <v>671</v>
      </c>
      <c r="CP40" s="1">
        <v>6</v>
      </c>
      <c r="CQ40" s="1">
        <v>2</v>
      </c>
      <c r="CR40" s="1" t="s">
        <v>182</v>
      </c>
    </row>
    <row r="41" spans="1:96" x14ac:dyDescent="0.3">
      <c r="A41" s="1">
        <v>9</v>
      </c>
      <c r="B41" s="1">
        <v>5</v>
      </c>
      <c r="C41" s="1" t="s">
        <v>582</v>
      </c>
      <c r="D41" s="1">
        <v>15</v>
      </c>
      <c r="F41" s="1" t="s">
        <v>569</v>
      </c>
      <c r="G41" s="1" t="s">
        <v>57</v>
      </c>
      <c r="H41" s="1" t="s">
        <v>672</v>
      </c>
      <c r="I41" s="1" t="s">
        <v>673</v>
      </c>
      <c r="J41" s="1" t="s">
        <v>674</v>
      </c>
      <c r="L41" s="1" t="s">
        <v>675</v>
      </c>
      <c r="M41" s="1" t="s">
        <v>676</v>
      </c>
      <c r="P41" s="1" t="s">
        <v>677</v>
      </c>
      <c r="X41" s="1" t="s">
        <v>678</v>
      </c>
      <c r="Y41" s="1" t="s">
        <v>679</v>
      </c>
      <c r="Z41" s="1" t="s">
        <v>680</v>
      </c>
      <c r="AB41" s="1" t="s">
        <v>681</v>
      </c>
      <c r="AC41" s="1" t="s">
        <v>682</v>
      </c>
      <c r="AD41" s="1" t="s">
        <v>683</v>
      </c>
      <c r="AE41" s="1" t="s">
        <v>684</v>
      </c>
      <c r="AN41" s="1" t="s">
        <v>685</v>
      </c>
      <c r="AT41" s="1" t="s">
        <v>57</v>
      </c>
      <c r="AU41" s="1" t="s">
        <v>686</v>
      </c>
      <c r="CA41" s="1">
        <v>8</v>
      </c>
      <c r="CB41" s="1">
        <v>4</v>
      </c>
      <c r="CC41" s="1" t="s">
        <v>554</v>
      </c>
      <c r="CD41" s="1">
        <v>5</v>
      </c>
      <c r="CE41" s="1">
        <v>3</v>
      </c>
      <c r="CF41" s="1" t="s">
        <v>171</v>
      </c>
      <c r="CG41" s="1">
        <v>13</v>
      </c>
      <c r="CH41" s="1">
        <v>3</v>
      </c>
      <c r="CI41" s="1" t="s">
        <v>481</v>
      </c>
      <c r="CJ41" s="1">
        <v>7</v>
      </c>
      <c r="CK41" s="1">
        <v>3</v>
      </c>
      <c r="CL41" s="1" t="s">
        <v>137</v>
      </c>
      <c r="CM41" s="1">
        <v>2</v>
      </c>
      <c r="CN41" s="1">
        <v>3</v>
      </c>
      <c r="CO41" s="1" t="s">
        <v>687</v>
      </c>
      <c r="CP41" s="1">
        <v>6</v>
      </c>
      <c r="CQ41" s="1">
        <v>1</v>
      </c>
      <c r="CR41" s="1" t="s">
        <v>249</v>
      </c>
    </row>
    <row r="42" spans="1:96" x14ac:dyDescent="0.3">
      <c r="A42" s="1">
        <v>9</v>
      </c>
      <c r="B42" s="1">
        <v>6</v>
      </c>
      <c r="C42" s="1" t="s">
        <v>598</v>
      </c>
      <c r="D42" s="1">
        <v>15</v>
      </c>
      <c r="F42" s="1" t="s">
        <v>569</v>
      </c>
      <c r="G42" s="1" t="s">
        <v>57</v>
      </c>
      <c r="H42" s="1" t="s">
        <v>688</v>
      </c>
      <c r="I42" s="1" t="s">
        <v>689</v>
      </c>
      <c r="J42" s="1" t="s">
        <v>690</v>
      </c>
      <c r="L42" s="1" t="s">
        <v>691</v>
      </c>
      <c r="M42" s="1" t="s">
        <v>692</v>
      </c>
      <c r="P42" s="1" t="s">
        <v>693</v>
      </c>
      <c r="X42" s="1" t="s">
        <v>694</v>
      </c>
      <c r="Y42" s="1" t="s">
        <v>695</v>
      </c>
      <c r="Z42" s="1" t="s">
        <v>696</v>
      </c>
      <c r="AB42" s="1" t="s">
        <v>697</v>
      </c>
      <c r="AC42" s="1" t="s">
        <v>698</v>
      </c>
      <c r="AD42" s="1" t="s">
        <v>699</v>
      </c>
      <c r="AE42" s="1" t="s">
        <v>700</v>
      </c>
      <c r="AN42" s="1" t="s">
        <v>701</v>
      </c>
      <c r="AT42" s="1" t="s">
        <v>57</v>
      </c>
      <c r="AU42" s="1" t="s">
        <v>568</v>
      </c>
      <c r="CA42" s="1">
        <v>8</v>
      </c>
      <c r="CB42" s="1">
        <v>5</v>
      </c>
      <c r="CC42" s="1" t="s">
        <v>567</v>
      </c>
      <c r="CD42" s="1">
        <v>5</v>
      </c>
      <c r="CE42" s="1">
        <v>4</v>
      </c>
      <c r="CF42" s="1" t="s">
        <v>702</v>
      </c>
      <c r="CG42" s="1">
        <v>12</v>
      </c>
      <c r="CH42" s="1">
        <v>3</v>
      </c>
      <c r="CI42" s="1" t="s">
        <v>154</v>
      </c>
      <c r="CJ42" s="1">
        <v>7</v>
      </c>
      <c r="CK42" s="1">
        <v>4</v>
      </c>
      <c r="CL42" s="1" t="s">
        <v>152</v>
      </c>
      <c r="CM42" s="1">
        <v>2</v>
      </c>
      <c r="CN42" s="1">
        <v>4</v>
      </c>
      <c r="CO42" s="1" t="s">
        <v>703</v>
      </c>
      <c r="CP42" s="1">
        <v>6</v>
      </c>
      <c r="CQ42" s="1">
        <v>3</v>
      </c>
      <c r="CR42" s="1" t="s">
        <v>155</v>
      </c>
    </row>
    <row r="43" spans="1:96" x14ac:dyDescent="0.3">
      <c r="A43" s="1">
        <v>8</v>
      </c>
      <c r="B43" s="1">
        <v>5</v>
      </c>
      <c r="C43" s="1" t="s">
        <v>617</v>
      </c>
      <c r="D43" s="1">
        <v>15</v>
      </c>
      <c r="F43" s="1" t="s">
        <v>569</v>
      </c>
      <c r="G43" s="1" t="s">
        <v>57</v>
      </c>
      <c r="H43" s="1" t="s">
        <v>704</v>
      </c>
      <c r="I43" s="1" t="s">
        <v>705</v>
      </c>
      <c r="J43" s="1" t="s">
        <v>706</v>
      </c>
      <c r="L43" s="1" t="s">
        <v>707</v>
      </c>
      <c r="M43" s="1" t="s">
        <v>708</v>
      </c>
      <c r="O43" s="1" t="s">
        <v>709</v>
      </c>
      <c r="P43" s="1" t="s">
        <v>710</v>
      </c>
      <c r="X43" s="1" t="s">
        <v>711</v>
      </c>
      <c r="Y43" s="1" t="s">
        <v>712</v>
      </c>
      <c r="Z43" s="1" t="s">
        <v>713</v>
      </c>
      <c r="AC43" s="1" t="s">
        <v>714</v>
      </c>
      <c r="AD43" s="1" t="s">
        <v>715</v>
      </c>
      <c r="AE43" s="1" t="s">
        <v>716</v>
      </c>
      <c r="AN43" s="1" t="s">
        <v>717</v>
      </c>
      <c r="AT43" s="1" t="s">
        <v>57</v>
      </c>
      <c r="AU43" s="1" t="s">
        <v>584</v>
      </c>
      <c r="CA43" s="1">
        <v>7</v>
      </c>
      <c r="CB43" s="1">
        <v>4</v>
      </c>
      <c r="CC43" s="1" t="s">
        <v>152</v>
      </c>
      <c r="CD43" s="1">
        <v>4</v>
      </c>
      <c r="CE43" s="1">
        <v>3</v>
      </c>
      <c r="CF43" s="1" t="s">
        <v>213</v>
      </c>
      <c r="CG43" s="1">
        <v>12</v>
      </c>
      <c r="CH43" s="1">
        <v>1</v>
      </c>
      <c r="CI43" s="1" t="s">
        <v>214</v>
      </c>
      <c r="CJ43" s="1">
        <v>6</v>
      </c>
      <c r="CK43" s="1">
        <v>3</v>
      </c>
      <c r="CL43" s="1" t="s">
        <v>155</v>
      </c>
      <c r="CM43" s="1">
        <v>3</v>
      </c>
      <c r="CN43" s="1">
        <v>4</v>
      </c>
      <c r="CO43" s="1" t="s">
        <v>718</v>
      </c>
      <c r="CP43" s="1">
        <v>5</v>
      </c>
      <c r="CQ43" s="1">
        <v>3</v>
      </c>
      <c r="CR43" s="1" t="s">
        <v>171</v>
      </c>
    </row>
    <row r="44" spans="1:96" x14ac:dyDescent="0.3">
      <c r="A44" s="1">
        <v>8</v>
      </c>
      <c r="B44" s="1">
        <v>6</v>
      </c>
      <c r="C44" s="1" t="s">
        <v>635</v>
      </c>
      <c r="D44" s="1">
        <v>15</v>
      </c>
      <c r="F44" s="1" t="s">
        <v>569</v>
      </c>
      <c r="G44" s="1" t="s">
        <v>57</v>
      </c>
      <c r="H44" s="1" t="s">
        <v>719</v>
      </c>
      <c r="I44" s="1" t="s">
        <v>720</v>
      </c>
      <c r="J44" s="1" t="s">
        <v>721</v>
      </c>
      <c r="L44" s="1" t="s">
        <v>722</v>
      </c>
      <c r="M44" s="1" t="s">
        <v>723</v>
      </c>
      <c r="O44" s="1" t="s">
        <v>724</v>
      </c>
      <c r="P44" s="1" t="s">
        <v>725</v>
      </c>
      <c r="X44" s="1" t="s">
        <v>726</v>
      </c>
      <c r="Y44" s="1" t="s">
        <v>727</v>
      </c>
      <c r="Z44" s="1" t="s">
        <v>728</v>
      </c>
      <c r="AC44" s="1" t="s">
        <v>729</v>
      </c>
      <c r="AD44" s="1" t="s">
        <v>730</v>
      </c>
      <c r="AE44" s="1" t="s">
        <v>731</v>
      </c>
      <c r="AN44" s="1" t="s">
        <v>732</v>
      </c>
      <c r="AT44" s="1" t="s">
        <v>57</v>
      </c>
      <c r="AU44" s="1" t="s">
        <v>600</v>
      </c>
      <c r="CA44" s="1">
        <v>7</v>
      </c>
      <c r="CB44" s="1">
        <v>5</v>
      </c>
      <c r="CC44" s="1" t="s">
        <v>168</v>
      </c>
      <c r="CD44" s="1">
        <v>4</v>
      </c>
      <c r="CE44" s="1">
        <v>4</v>
      </c>
      <c r="CF44" s="1" t="s">
        <v>229</v>
      </c>
      <c r="CG44" s="1">
        <v>12</v>
      </c>
      <c r="CH44" s="1">
        <v>2</v>
      </c>
      <c r="CI44" s="1" t="s">
        <v>184</v>
      </c>
      <c r="CJ44" s="1">
        <v>6</v>
      </c>
      <c r="CK44" s="1">
        <v>4</v>
      </c>
      <c r="CL44" s="1" t="s">
        <v>210</v>
      </c>
      <c r="CM44" s="1">
        <v>2</v>
      </c>
      <c r="CN44" s="1">
        <v>2</v>
      </c>
      <c r="CO44" s="1" t="s">
        <v>733</v>
      </c>
      <c r="CP44" s="1">
        <v>4</v>
      </c>
      <c r="CQ44" s="1">
        <v>3</v>
      </c>
      <c r="CR44" s="1" t="s">
        <v>213</v>
      </c>
    </row>
    <row r="45" spans="1:96" x14ac:dyDescent="0.3">
      <c r="A45" s="1">
        <v>7</v>
      </c>
      <c r="B45" s="1">
        <v>5</v>
      </c>
      <c r="C45" s="1" t="s">
        <v>651</v>
      </c>
      <c r="D45" s="1">
        <v>15</v>
      </c>
      <c r="F45" s="1" t="s">
        <v>569</v>
      </c>
      <c r="G45" s="1" t="s">
        <v>57</v>
      </c>
      <c r="H45" s="1" t="s">
        <v>734</v>
      </c>
      <c r="I45" s="1" t="s">
        <v>735</v>
      </c>
      <c r="J45" s="1" t="s">
        <v>736</v>
      </c>
      <c r="K45" s="1" t="s">
        <v>737</v>
      </c>
      <c r="M45" s="1" t="s">
        <v>738</v>
      </c>
      <c r="O45" s="1" t="s">
        <v>739</v>
      </c>
      <c r="P45" s="1" t="s">
        <v>740</v>
      </c>
      <c r="X45" s="1" t="s">
        <v>741</v>
      </c>
      <c r="Y45" s="1" t="s">
        <v>742</v>
      </c>
      <c r="Z45" s="1" t="s">
        <v>743</v>
      </c>
      <c r="AB45" s="1" t="s">
        <v>744</v>
      </c>
      <c r="AC45" s="1" t="s">
        <v>745</v>
      </c>
      <c r="AD45" s="1" t="s">
        <v>746</v>
      </c>
      <c r="AN45" s="1" t="s">
        <v>747</v>
      </c>
      <c r="AT45" s="1" t="s">
        <v>57</v>
      </c>
      <c r="AU45" s="1" t="s">
        <v>620</v>
      </c>
      <c r="CA45" s="1">
        <v>6</v>
      </c>
      <c r="CB45" s="1">
        <v>4</v>
      </c>
      <c r="CC45" s="1" t="s">
        <v>210</v>
      </c>
      <c r="CD45" s="1">
        <v>3</v>
      </c>
      <c r="CE45" s="1">
        <v>3</v>
      </c>
      <c r="CF45" s="1" t="s">
        <v>599</v>
      </c>
      <c r="CG45" s="1">
        <v>11</v>
      </c>
      <c r="CH45" s="1">
        <v>2</v>
      </c>
      <c r="CI45" s="1" t="s">
        <v>197</v>
      </c>
      <c r="CJ45" s="1">
        <v>5</v>
      </c>
      <c r="CK45" s="1">
        <v>3</v>
      </c>
      <c r="CL45" s="1" t="s">
        <v>171</v>
      </c>
      <c r="CM45" s="1">
        <v>1</v>
      </c>
      <c r="CN45" s="1">
        <v>3</v>
      </c>
      <c r="CO45" s="1" t="s">
        <v>748</v>
      </c>
      <c r="CP45" s="1">
        <v>4</v>
      </c>
      <c r="CQ45" s="1">
        <v>1</v>
      </c>
      <c r="CR45" s="1" t="s">
        <v>583</v>
      </c>
    </row>
    <row r="46" spans="1:96" x14ac:dyDescent="0.3">
      <c r="A46" s="1">
        <v>7</v>
      </c>
      <c r="B46" s="1">
        <v>6</v>
      </c>
      <c r="C46" s="1" t="s">
        <v>670</v>
      </c>
      <c r="D46" s="1">
        <v>11</v>
      </c>
      <c r="F46" s="1" t="s">
        <v>569</v>
      </c>
      <c r="G46" s="1" t="s">
        <v>57</v>
      </c>
      <c r="H46" s="1" t="s">
        <v>749</v>
      </c>
      <c r="K46" s="1" t="s">
        <v>750</v>
      </c>
      <c r="M46" s="1" t="s">
        <v>751</v>
      </c>
      <c r="P46" s="1" t="s">
        <v>752</v>
      </c>
      <c r="X46" s="1" t="s">
        <v>753</v>
      </c>
      <c r="Y46" s="1" t="s">
        <v>754</v>
      </c>
      <c r="Z46" s="1" t="s">
        <v>755</v>
      </c>
      <c r="AB46" s="1" t="s">
        <v>756</v>
      </c>
      <c r="AD46" s="1" t="s">
        <v>757</v>
      </c>
      <c r="AN46" s="1" t="s">
        <v>758</v>
      </c>
      <c r="AT46" s="1" t="s">
        <v>57</v>
      </c>
      <c r="AU46" s="1" t="s">
        <v>637</v>
      </c>
      <c r="CA46" s="1">
        <v>6</v>
      </c>
      <c r="CB46" s="1">
        <v>5</v>
      </c>
      <c r="CC46" s="1" t="s">
        <v>226</v>
      </c>
      <c r="CD46" s="1">
        <v>3</v>
      </c>
      <c r="CE46" s="1">
        <v>4</v>
      </c>
      <c r="CF46" s="1" t="s">
        <v>718</v>
      </c>
      <c r="CG46" s="1">
        <v>10</v>
      </c>
      <c r="CH46" s="1">
        <v>2</v>
      </c>
      <c r="CI46" s="1" t="s">
        <v>248</v>
      </c>
      <c r="CJ46" s="1">
        <v>5</v>
      </c>
      <c r="CK46" s="1">
        <v>4</v>
      </c>
      <c r="CL46" s="1" t="s">
        <v>702</v>
      </c>
      <c r="CM46" s="1">
        <v>1</v>
      </c>
      <c r="CN46" s="1">
        <v>4</v>
      </c>
      <c r="CO46" s="1" t="s">
        <v>759</v>
      </c>
      <c r="CP46" s="1">
        <v>4</v>
      </c>
      <c r="CQ46" s="1">
        <v>2</v>
      </c>
      <c r="CR46" s="1" t="s">
        <v>125</v>
      </c>
    </row>
    <row r="47" spans="1:96" x14ac:dyDescent="0.3">
      <c r="A47" s="1">
        <v>10</v>
      </c>
      <c r="B47" s="1">
        <v>2</v>
      </c>
      <c r="C47" s="1" t="s">
        <v>760</v>
      </c>
      <c r="D47" s="1">
        <v>11</v>
      </c>
      <c r="F47" s="1" t="s">
        <v>569</v>
      </c>
      <c r="G47" s="1" t="s">
        <v>231</v>
      </c>
      <c r="H47" s="1" t="s">
        <v>761</v>
      </c>
      <c r="K47" s="1" t="s">
        <v>762</v>
      </c>
      <c r="L47" s="1" t="s">
        <v>763</v>
      </c>
      <c r="M47" s="1" t="s">
        <v>764</v>
      </c>
      <c r="X47" s="1" t="s">
        <v>765</v>
      </c>
      <c r="Y47" s="1" t="s">
        <v>766</v>
      </c>
      <c r="AB47" s="1" t="s">
        <v>767</v>
      </c>
      <c r="AD47" s="1" t="s">
        <v>768</v>
      </c>
      <c r="AE47" s="1" t="s">
        <v>769</v>
      </c>
      <c r="AT47" s="1" t="s">
        <v>57</v>
      </c>
      <c r="AU47" s="1" t="s">
        <v>770</v>
      </c>
      <c r="CA47" s="1">
        <v>9</v>
      </c>
      <c r="CB47" s="1">
        <v>1</v>
      </c>
      <c r="CC47" s="1" t="s">
        <v>422</v>
      </c>
      <c r="CD47" s="1">
        <v>0</v>
      </c>
      <c r="CE47" s="1">
        <v>0</v>
      </c>
      <c r="CG47" s="1">
        <v>10</v>
      </c>
      <c r="CH47" s="1">
        <v>1</v>
      </c>
      <c r="CI47" s="1" t="s">
        <v>228</v>
      </c>
      <c r="CJ47" s="1">
        <v>7</v>
      </c>
      <c r="CK47" s="1">
        <v>1</v>
      </c>
      <c r="CL47" s="1" t="s">
        <v>246</v>
      </c>
      <c r="CM47" s="1">
        <v>0</v>
      </c>
      <c r="CN47" s="1">
        <v>0</v>
      </c>
      <c r="CP47" s="1">
        <v>0</v>
      </c>
      <c r="CQ47" s="1">
        <v>0</v>
      </c>
    </row>
    <row r="48" spans="1:96" x14ac:dyDescent="0.3">
      <c r="A48" s="1">
        <v>10</v>
      </c>
      <c r="B48" s="1">
        <v>3</v>
      </c>
      <c r="C48" s="1" t="s">
        <v>771</v>
      </c>
      <c r="D48" s="1">
        <v>15</v>
      </c>
      <c r="F48" s="1" t="s">
        <v>569</v>
      </c>
      <c r="G48" s="1" t="s">
        <v>57</v>
      </c>
      <c r="H48" s="1" t="s">
        <v>772</v>
      </c>
      <c r="I48" s="1" t="s">
        <v>773</v>
      </c>
      <c r="J48" s="1" t="s">
        <v>774</v>
      </c>
      <c r="K48" s="1" t="s">
        <v>775</v>
      </c>
      <c r="L48" s="1" t="s">
        <v>776</v>
      </c>
      <c r="M48" s="1" t="s">
        <v>777</v>
      </c>
      <c r="O48" s="1" t="s">
        <v>778</v>
      </c>
      <c r="X48" s="1" t="s">
        <v>779</v>
      </c>
      <c r="Y48" s="1" t="s">
        <v>780</v>
      </c>
      <c r="AB48" s="1" t="s">
        <v>781</v>
      </c>
      <c r="AC48" s="1" t="s">
        <v>782</v>
      </c>
      <c r="AD48" s="1" t="s">
        <v>783</v>
      </c>
      <c r="AE48" s="1" t="s">
        <v>784</v>
      </c>
      <c r="AT48" s="1" t="s">
        <v>57</v>
      </c>
      <c r="AU48" s="1" t="s">
        <v>785</v>
      </c>
      <c r="CA48" s="1">
        <v>9</v>
      </c>
      <c r="CB48" s="1">
        <v>2</v>
      </c>
      <c r="CC48" s="1" t="s">
        <v>266</v>
      </c>
      <c r="CD48" s="1">
        <v>0</v>
      </c>
      <c r="CE48" s="1">
        <v>0</v>
      </c>
      <c r="CG48" s="1">
        <v>10</v>
      </c>
      <c r="CH48" s="1">
        <v>3</v>
      </c>
      <c r="CI48" s="1" t="s">
        <v>482</v>
      </c>
      <c r="CJ48" s="1">
        <v>6</v>
      </c>
      <c r="CK48" s="1">
        <v>2</v>
      </c>
      <c r="CL48" s="1" t="s">
        <v>182</v>
      </c>
      <c r="CM48" s="1">
        <v>0</v>
      </c>
      <c r="CN48" s="1">
        <v>0</v>
      </c>
      <c r="CP48" s="1">
        <v>0</v>
      </c>
      <c r="CQ48" s="1">
        <v>0</v>
      </c>
    </row>
    <row r="49" spans="1:95" x14ac:dyDescent="0.3">
      <c r="A49" s="1">
        <v>9</v>
      </c>
      <c r="B49" s="1">
        <v>2</v>
      </c>
      <c r="C49" s="1" t="s">
        <v>786</v>
      </c>
      <c r="D49" s="1">
        <v>12</v>
      </c>
      <c r="F49" s="1" t="s">
        <v>569</v>
      </c>
      <c r="G49" s="1" t="s">
        <v>57</v>
      </c>
      <c r="H49" s="1" t="s">
        <v>787</v>
      </c>
      <c r="J49" s="1" t="s">
        <v>788</v>
      </c>
      <c r="M49" s="1" t="s">
        <v>789</v>
      </c>
      <c r="O49" s="1" t="s">
        <v>790</v>
      </c>
      <c r="X49" s="1" t="s">
        <v>791</v>
      </c>
      <c r="Y49" s="1" t="s">
        <v>792</v>
      </c>
      <c r="AB49" s="1" t="s">
        <v>793</v>
      </c>
      <c r="AC49" s="1" t="s">
        <v>794</v>
      </c>
      <c r="AD49" s="1" t="s">
        <v>795</v>
      </c>
      <c r="AE49" s="1" t="s">
        <v>796</v>
      </c>
      <c r="AT49" s="1" t="s">
        <v>57</v>
      </c>
      <c r="AU49" s="1" t="s">
        <v>797</v>
      </c>
      <c r="CA49" s="1">
        <v>8</v>
      </c>
      <c r="CB49" s="1">
        <v>1</v>
      </c>
      <c r="CC49" s="1" t="s">
        <v>453</v>
      </c>
      <c r="CD49" s="1">
        <v>0</v>
      </c>
      <c r="CE49" s="1">
        <v>0</v>
      </c>
      <c r="CG49" s="1">
        <v>9</v>
      </c>
      <c r="CH49" s="1">
        <v>3</v>
      </c>
      <c r="CI49" s="1" t="s">
        <v>508</v>
      </c>
      <c r="CJ49" s="1">
        <v>6</v>
      </c>
      <c r="CK49" s="1">
        <v>1</v>
      </c>
      <c r="CL49" s="1" t="s">
        <v>249</v>
      </c>
      <c r="CM49" s="1">
        <v>0</v>
      </c>
      <c r="CN49" s="1">
        <v>0</v>
      </c>
      <c r="CP49" s="1">
        <v>0</v>
      </c>
      <c r="CQ49" s="1">
        <v>0</v>
      </c>
    </row>
    <row r="50" spans="1:95" x14ac:dyDescent="0.3">
      <c r="A50" s="1">
        <v>9</v>
      </c>
      <c r="B50" s="1">
        <v>3</v>
      </c>
      <c r="C50" s="1" t="s">
        <v>798</v>
      </c>
      <c r="D50" s="1">
        <v>13</v>
      </c>
      <c r="F50" s="1" t="s">
        <v>569</v>
      </c>
      <c r="G50" s="1" t="s">
        <v>57</v>
      </c>
      <c r="H50" s="1" t="s">
        <v>799</v>
      </c>
      <c r="I50" s="1" t="s">
        <v>800</v>
      </c>
      <c r="J50" s="1" t="s">
        <v>801</v>
      </c>
      <c r="M50" s="1" t="s">
        <v>802</v>
      </c>
      <c r="O50" s="1" t="s">
        <v>803</v>
      </c>
      <c r="X50" s="1" t="s">
        <v>804</v>
      </c>
      <c r="Y50" s="1" t="s">
        <v>805</v>
      </c>
      <c r="AB50" s="1" t="s">
        <v>806</v>
      </c>
      <c r="AC50" s="1" t="s">
        <v>807</v>
      </c>
      <c r="AD50" s="1" t="s">
        <v>808</v>
      </c>
      <c r="AE50" s="1" t="s">
        <v>809</v>
      </c>
      <c r="AT50" s="1" t="s">
        <v>57</v>
      </c>
      <c r="AU50" s="1" t="s">
        <v>810</v>
      </c>
      <c r="CA50" s="1">
        <v>8</v>
      </c>
      <c r="CB50" s="1">
        <v>2</v>
      </c>
      <c r="CC50" s="1" t="s">
        <v>469</v>
      </c>
      <c r="CD50" s="1">
        <v>0</v>
      </c>
      <c r="CE50" s="1">
        <v>0</v>
      </c>
      <c r="CG50" s="1">
        <v>8</v>
      </c>
      <c r="CH50" s="1">
        <v>3</v>
      </c>
      <c r="CI50" s="1" t="s">
        <v>542</v>
      </c>
      <c r="CJ50" s="1">
        <v>5</v>
      </c>
      <c r="CK50" s="1">
        <v>2</v>
      </c>
      <c r="CL50" s="1" t="s">
        <v>198</v>
      </c>
      <c r="CM50" s="1">
        <v>0</v>
      </c>
      <c r="CN50" s="1">
        <v>0</v>
      </c>
      <c r="CP50" s="1">
        <v>0</v>
      </c>
      <c r="CQ50" s="1">
        <v>0</v>
      </c>
    </row>
    <row r="51" spans="1:95" x14ac:dyDescent="0.3">
      <c r="A51" s="1">
        <v>9</v>
      </c>
      <c r="B51" s="1">
        <v>4</v>
      </c>
      <c r="C51" s="1" t="s">
        <v>811</v>
      </c>
      <c r="D51" s="1">
        <v>11</v>
      </c>
      <c r="F51" s="1" t="s">
        <v>812</v>
      </c>
      <c r="G51" s="1" t="s">
        <v>57</v>
      </c>
      <c r="H51" s="1" t="s">
        <v>813</v>
      </c>
      <c r="I51" s="1" t="s">
        <v>814</v>
      </c>
      <c r="J51" s="1" t="s">
        <v>815</v>
      </c>
      <c r="O51" s="1" t="s">
        <v>816</v>
      </c>
      <c r="X51" s="1" t="s">
        <v>817</v>
      </c>
      <c r="Y51" s="1" t="s">
        <v>818</v>
      </c>
      <c r="AB51" s="1" t="s">
        <v>819</v>
      </c>
      <c r="AC51" s="1" t="s">
        <v>820</v>
      </c>
      <c r="AD51" s="1" t="s">
        <v>821</v>
      </c>
      <c r="AT51" s="1" t="s">
        <v>57</v>
      </c>
      <c r="AU51" s="1" t="s">
        <v>822</v>
      </c>
      <c r="CA51" s="1">
        <v>8</v>
      </c>
      <c r="CB51" s="1">
        <v>3</v>
      </c>
      <c r="CC51" s="1" t="s">
        <v>542</v>
      </c>
      <c r="CD51" s="1">
        <v>0</v>
      </c>
      <c r="CE51" s="1">
        <v>0</v>
      </c>
      <c r="CG51" s="1">
        <v>8</v>
      </c>
      <c r="CH51" s="1">
        <v>1</v>
      </c>
      <c r="CI51" s="1" t="s">
        <v>453</v>
      </c>
      <c r="CJ51" s="1">
        <v>5</v>
      </c>
      <c r="CK51" s="1">
        <v>1</v>
      </c>
      <c r="CL51" s="1" t="s">
        <v>267</v>
      </c>
      <c r="CM51" s="1">
        <v>0</v>
      </c>
      <c r="CN51" s="1">
        <v>0</v>
      </c>
      <c r="CP51" s="1">
        <v>0</v>
      </c>
      <c r="CQ51" s="1">
        <v>0</v>
      </c>
    </row>
    <row r="52" spans="1:95" x14ac:dyDescent="0.3">
      <c r="A52" s="1">
        <v>8</v>
      </c>
      <c r="B52" s="1">
        <v>2</v>
      </c>
      <c r="C52" s="1" t="s">
        <v>823</v>
      </c>
      <c r="D52" s="1">
        <v>12</v>
      </c>
      <c r="F52" s="1" t="s">
        <v>812</v>
      </c>
      <c r="G52" s="1" t="s">
        <v>57</v>
      </c>
      <c r="H52" s="1" t="s">
        <v>824</v>
      </c>
      <c r="I52" s="1" t="s">
        <v>825</v>
      </c>
      <c r="J52" s="1" t="s">
        <v>826</v>
      </c>
      <c r="O52" s="1" t="s">
        <v>827</v>
      </c>
      <c r="X52" s="1" t="s">
        <v>828</v>
      </c>
      <c r="Y52" s="1" t="s">
        <v>829</v>
      </c>
      <c r="AB52" s="1" t="s">
        <v>830</v>
      </c>
      <c r="AC52" s="1" t="s">
        <v>831</v>
      </c>
      <c r="AD52" s="1" t="s">
        <v>832</v>
      </c>
      <c r="AE52" s="1" t="s">
        <v>833</v>
      </c>
      <c r="AT52" s="1" t="s">
        <v>57</v>
      </c>
      <c r="AU52" s="1" t="s">
        <v>834</v>
      </c>
      <c r="CA52" s="1">
        <v>7</v>
      </c>
      <c r="CB52" s="1">
        <v>1</v>
      </c>
      <c r="CC52" s="1" t="s">
        <v>246</v>
      </c>
      <c r="CD52" s="1">
        <v>0</v>
      </c>
      <c r="CE52" s="1">
        <v>0</v>
      </c>
      <c r="CG52" s="1">
        <v>8</v>
      </c>
      <c r="CH52" s="1">
        <v>2</v>
      </c>
      <c r="CI52" s="1" t="s">
        <v>469</v>
      </c>
      <c r="CJ52" s="1">
        <v>4</v>
      </c>
      <c r="CK52" s="1">
        <v>2</v>
      </c>
      <c r="CL52" s="1" t="s">
        <v>125</v>
      </c>
      <c r="CM52" s="1">
        <v>0</v>
      </c>
      <c r="CN52" s="1">
        <v>0</v>
      </c>
      <c r="CP52" s="1">
        <v>0</v>
      </c>
      <c r="CQ52" s="1">
        <v>0</v>
      </c>
    </row>
    <row r="53" spans="1:95" x14ac:dyDescent="0.3">
      <c r="A53" s="1">
        <v>8</v>
      </c>
      <c r="B53" s="1">
        <v>3</v>
      </c>
      <c r="C53" s="1" t="s">
        <v>770</v>
      </c>
      <c r="D53" s="1">
        <v>14</v>
      </c>
      <c r="F53" s="1" t="s">
        <v>812</v>
      </c>
      <c r="G53" s="1" t="s">
        <v>57</v>
      </c>
      <c r="H53" s="1" t="s">
        <v>835</v>
      </c>
      <c r="I53" s="1" t="s">
        <v>836</v>
      </c>
      <c r="J53" s="1" t="s">
        <v>837</v>
      </c>
      <c r="K53" s="1" t="s">
        <v>838</v>
      </c>
      <c r="L53" s="1" t="s">
        <v>839</v>
      </c>
      <c r="O53" s="1" t="s">
        <v>840</v>
      </c>
      <c r="X53" s="1" t="s">
        <v>841</v>
      </c>
      <c r="Y53" s="1" t="s">
        <v>842</v>
      </c>
      <c r="AB53" s="1" t="s">
        <v>843</v>
      </c>
      <c r="AC53" s="1" t="s">
        <v>844</v>
      </c>
      <c r="AD53" s="1" t="s">
        <v>845</v>
      </c>
      <c r="AE53" s="1" t="s">
        <v>846</v>
      </c>
      <c r="AT53" s="1" t="s">
        <v>57</v>
      </c>
      <c r="AU53" s="1" t="s">
        <v>653</v>
      </c>
      <c r="CA53" s="1">
        <v>7</v>
      </c>
      <c r="CB53" s="1">
        <v>2</v>
      </c>
      <c r="CC53" s="1" t="s">
        <v>122</v>
      </c>
      <c r="CD53" s="1">
        <v>0</v>
      </c>
      <c r="CE53" s="1">
        <v>0</v>
      </c>
      <c r="CG53" s="1">
        <v>7</v>
      </c>
      <c r="CH53" s="1">
        <v>2</v>
      </c>
      <c r="CI53" s="1" t="s">
        <v>122</v>
      </c>
      <c r="CJ53" s="1">
        <v>4</v>
      </c>
      <c r="CK53" s="1">
        <v>1</v>
      </c>
      <c r="CL53" s="1" t="s">
        <v>583</v>
      </c>
      <c r="CM53" s="1">
        <v>0</v>
      </c>
      <c r="CN53" s="1">
        <v>0</v>
      </c>
      <c r="CP53" s="1">
        <v>0</v>
      </c>
      <c r="CQ53" s="1">
        <v>0</v>
      </c>
    </row>
    <row r="54" spans="1:95" x14ac:dyDescent="0.3">
      <c r="A54" s="1">
        <v>7</v>
      </c>
      <c r="B54" s="1">
        <v>2</v>
      </c>
      <c r="C54" s="1" t="s">
        <v>785</v>
      </c>
      <c r="D54" s="1">
        <v>14</v>
      </c>
      <c r="F54" s="1" t="s">
        <v>812</v>
      </c>
      <c r="G54" s="1" t="s">
        <v>57</v>
      </c>
      <c r="H54" s="1" t="s">
        <v>847</v>
      </c>
      <c r="I54" s="1" t="s">
        <v>848</v>
      </c>
      <c r="K54" s="1" t="s">
        <v>849</v>
      </c>
      <c r="L54" s="1" t="s">
        <v>850</v>
      </c>
      <c r="M54" s="1" t="s">
        <v>851</v>
      </c>
      <c r="O54" s="1" t="s">
        <v>852</v>
      </c>
      <c r="X54" s="1" t="s">
        <v>853</v>
      </c>
      <c r="Y54" s="1" t="s">
        <v>854</v>
      </c>
      <c r="AB54" s="1" t="s">
        <v>855</v>
      </c>
      <c r="AC54" s="1" t="s">
        <v>856</v>
      </c>
      <c r="AD54" s="1" t="s">
        <v>857</v>
      </c>
      <c r="AE54" s="1" t="s">
        <v>858</v>
      </c>
      <c r="AT54" s="1" t="s">
        <v>57</v>
      </c>
      <c r="AU54" s="1" t="s">
        <v>760</v>
      </c>
      <c r="CA54" s="1">
        <v>6</v>
      </c>
      <c r="CB54" s="1">
        <v>1</v>
      </c>
      <c r="CC54" s="1" t="s">
        <v>249</v>
      </c>
      <c r="CD54" s="1">
        <v>0</v>
      </c>
      <c r="CE54" s="1">
        <v>0</v>
      </c>
      <c r="CG54" s="1">
        <v>6</v>
      </c>
      <c r="CH54" s="1">
        <v>2</v>
      </c>
      <c r="CI54" s="1" t="s">
        <v>182</v>
      </c>
      <c r="CJ54" s="1">
        <v>3</v>
      </c>
      <c r="CK54" s="1">
        <v>2</v>
      </c>
      <c r="CL54" s="1" t="s">
        <v>636</v>
      </c>
      <c r="CM54" s="1">
        <v>0</v>
      </c>
      <c r="CN54" s="1">
        <v>0</v>
      </c>
      <c r="CP54" s="1">
        <v>0</v>
      </c>
      <c r="CQ54" s="1">
        <v>0</v>
      </c>
    </row>
    <row r="55" spans="1:95" x14ac:dyDescent="0.3">
      <c r="A55" s="1">
        <v>7</v>
      </c>
      <c r="B55" s="1">
        <v>3</v>
      </c>
      <c r="C55" s="1" t="s">
        <v>797</v>
      </c>
      <c r="D55" s="1">
        <v>13</v>
      </c>
      <c r="F55" s="1" t="s">
        <v>812</v>
      </c>
      <c r="G55" s="1" t="s">
        <v>57</v>
      </c>
      <c r="H55" s="1" t="s">
        <v>859</v>
      </c>
      <c r="K55" s="1" t="s">
        <v>860</v>
      </c>
      <c r="M55" s="1" t="s">
        <v>861</v>
      </c>
      <c r="O55" s="1" t="s">
        <v>862</v>
      </c>
      <c r="Q55" s="1" t="s">
        <v>863</v>
      </c>
      <c r="X55" s="1" t="s">
        <v>864</v>
      </c>
      <c r="Y55" s="1" t="s">
        <v>865</v>
      </c>
      <c r="AB55" s="1" t="s">
        <v>866</v>
      </c>
      <c r="AC55" s="1" t="s">
        <v>867</v>
      </c>
      <c r="AD55" s="1" t="s">
        <v>868</v>
      </c>
      <c r="AE55" s="1" t="s">
        <v>869</v>
      </c>
      <c r="AT55" s="1" t="s">
        <v>57</v>
      </c>
      <c r="AU55" s="1" t="s">
        <v>771</v>
      </c>
      <c r="CA55" s="1">
        <v>6</v>
      </c>
      <c r="CB55" s="1">
        <v>2</v>
      </c>
      <c r="CC55" s="1" t="s">
        <v>182</v>
      </c>
      <c r="CD55" s="1">
        <v>0</v>
      </c>
      <c r="CE55" s="1">
        <v>0</v>
      </c>
      <c r="CG55" s="1">
        <v>6</v>
      </c>
      <c r="CH55" s="1">
        <v>1</v>
      </c>
      <c r="CI55" s="1" t="s">
        <v>249</v>
      </c>
      <c r="CJ55" s="1">
        <v>3</v>
      </c>
      <c r="CK55" s="1">
        <v>1</v>
      </c>
      <c r="CL55" s="1" t="s">
        <v>619</v>
      </c>
      <c r="CM55" s="1">
        <v>0</v>
      </c>
      <c r="CN55" s="1">
        <v>0</v>
      </c>
      <c r="CP55" s="1">
        <v>0</v>
      </c>
      <c r="CQ55" s="1">
        <v>0</v>
      </c>
    </row>
    <row r="56" spans="1:95" x14ac:dyDescent="0.3">
      <c r="A56" s="1">
        <v>7</v>
      </c>
      <c r="B56" s="1">
        <v>4</v>
      </c>
      <c r="C56" s="1" t="s">
        <v>810</v>
      </c>
      <c r="D56" s="1">
        <v>14</v>
      </c>
      <c r="F56" s="1" t="s">
        <v>812</v>
      </c>
      <c r="G56" s="1" t="s">
        <v>231</v>
      </c>
      <c r="H56" s="1" t="s">
        <v>870</v>
      </c>
      <c r="I56" s="1" t="s">
        <v>871</v>
      </c>
      <c r="J56" s="1" t="s">
        <v>872</v>
      </c>
      <c r="K56" s="1" t="s">
        <v>873</v>
      </c>
      <c r="M56" s="1" t="s">
        <v>874</v>
      </c>
      <c r="O56" s="1" t="s">
        <v>875</v>
      </c>
      <c r="Q56" s="1" t="s">
        <v>876</v>
      </c>
      <c r="X56" s="1" t="s">
        <v>877</v>
      </c>
      <c r="Y56" s="1" t="s">
        <v>878</v>
      </c>
      <c r="AB56" s="1" t="s">
        <v>879</v>
      </c>
      <c r="AC56" s="1" t="s">
        <v>880</v>
      </c>
      <c r="AD56" s="1" t="s">
        <v>881</v>
      </c>
      <c r="AT56" s="1" t="s">
        <v>57</v>
      </c>
      <c r="AU56" s="1" t="s">
        <v>786</v>
      </c>
      <c r="CA56" s="1">
        <v>6</v>
      </c>
      <c r="CB56" s="1">
        <v>3</v>
      </c>
      <c r="CC56" s="1" t="s">
        <v>155</v>
      </c>
      <c r="CD56" s="1">
        <v>0</v>
      </c>
      <c r="CE56" s="1">
        <v>0</v>
      </c>
      <c r="CG56" s="1">
        <v>6</v>
      </c>
      <c r="CH56" s="1">
        <v>3</v>
      </c>
      <c r="CI56" s="1" t="s">
        <v>155</v>
      </c>
      <c r="CJ56" s="1">
        <v>2</v>
      </c>
      <c r="CK56" s="1">
        <v>2</v>
      </c>
      <c r="CL56" s="1" t="s">
        <v>733</v>
      </c>
      <c r="CM56" s="1">
        <v>0</v>
      </c>
      <c r="CN56" s="1">
        <v>0</v>
      </c>
      <c r="CP56" s="1">
        <v>0</v>
      </c>
      <c r="CQ56" s="1">
        <v>0</v>
      </c>
    </row>
    <row r="57" spans="1:95" x14ac:dyDescent="0.3">
      <c r="A57" s="1">
        <v>6</v>
      </c>
      <c r="B57" s="1">
        <v>3</v>
      </c>
      <c r="C57" s="1" t="s">
        <v>822</v>
      </c>
      <c r="D57" s="1">
        <v>13</v>
      </c>
      <c r="F57" s="1" t="s">
        <v>812</v>
      </c>
      <c r="G57" s="1" t="s">
        <v>57</v>
      </c>
      <c r="H57" s="1" t="s">
        <v>882</v>
      </c>
      <c r="I57" s="1" t="s">
        <v>883</v>
      </c>
      <c r="J57" s="1" t="s">
        <v>884</v>
      </c>
      <c r="L57" s="1" t="s">
        <v>885</v>
      </c>
      <c r="M57" s="1" t="s">
        <v>886</v>
      </c>
      <c r="Q57" s="1" t="s">
        <v>887</v>
      </c>
      <c r="X57" s="1" t="s">
        <v>888</v>
      </c>
      <c r="Y57" s="1" t="s">
        <v>889</v>
      </c>
      <c r="AB57" s="1" t="s">
        <v>890</v>
      </c>
      <c r="AC57" s="1" t="s">
        <v>891</v>
      </c>
      <c r="AD57" s="1" t="s">
        <v>892</v>
      </c>
      <c r="AT57" s="1" t="s">
        <v>57</v>
      </c>
      <c r="AU57" s="1" t="s">
        <v>798</v>
      </c>
      <c r="CA57" s="1">
        <v>5</v>
      </c>
      <c r="CB57" s="1">
        <v>2</v>
      </c>
      <c r="CC57" s="1" t="s">
        <v>198</v>
      </c>
      <c r="CD57" s="1">
        <v>0</v>
      </c>
      <c r="CE57" s="1">
        <v>0</v>
      </c>
      <c r="CG57" s="1">
        <v>5</v>
      </c>
      <c r="CH57" s="1">
        <v>3</v>
      </c>
      <c r="CI57" s="1" t="s">
        <v>171</v>
      </c>
      <c r="CJ57" s="1">
        <v>2</v>
      </c>
      <c r="CK57" s="1">
        <v>1</v>
      </c>
      <c r="CL57" s="1" t="s">
        <v>652</v>
      </c>
      <c r="CM57" s="1">
        <v>0</v>
      </c>
      <c r="CN57" s="1">
        <v>0</v>
      </c>
      <c r="CP57" s="1">
        <v>0</v>
      </c>
      <c r="CQ57" s="1">
        <v>0</v>
      </c>
    </row>
    <row r="58" spans="1:95" x14ac:dyDescent="0.3">
      <c r="A58" s="1">
        <v>6</v>
      </c>
      <c r="B58" s="1">
        <v>4</v>
      </c>
      <c r="C58" s="1" t="s">
        <v>834</v>
      </c>
      <c r="D58" s="1">
        <v>13</v>
      </c>
      <c r="F58" s="1" t="s">
        <v>812</v>
      </c>
      <c r="G58" s="1" t="s">
        <v>57</v>
      </c>
      <c r="H58" s="1" t="s">
        <v>893</v>
      </c>
      <c r="I58" s="1" t="s">
        <v>894</v>
      </c>
      <c r="J58" s="1" t="s">
        <v>895</v>
      </c>
      <c r="L58" s="1" t="s">
        <v>896</v>
      </c>
      <c r="M58" s="1" t="s">
        <v>897</v>
      </c>
      <c r="Q58" s="1" t="s">
        <v>898</v>
      </c>
      <c r="X58" s="1" t="s">
        <v>899</v>
      </c>
      <c r="Y58" s="1" t="s">
        <v>900</v>
      </c>
      <c r="AB58" s="1" t="s">
        <v>901</v>
      </c>
      <c r="AC58" s="1" t="s">
        <v>902</v>
      </c>
      <c r="AD58" s="1" t="s">
        <v>903</v>
      </c>
      <c r="AT58" s="1" t="s">
        <v>57</v>
      </c>
      <c r="AU58" s="1" t="s">
        <v>811</v>
      </c>
      <c r="CA58" s="1">
        <v>5</v>
      </c>
      <c r="CB58" s="1">
        <v>3</v>
      </c>
      <c r="CC58" s="1" t="s">
        <v>171</v>
      </c>
      <c r="CD58" s="1">
        <v>0</v>
      </c>
      <c r="CE58" s="1">
        <v>0</v>
      </c>
      <c r="CG58" s="1">
        <v>4</v>
      </c>
      <c r="CH58" s="1">
        <v>3</v>
      </c>
      <c r="CI58" s="1" t="s">
        <v>213</v>
      </c>
      <c r="CJ58" s="1">
        <v>1</v>
      </c>
      <c r="CK58" s="1">
        <v>2</v>
      </c>
      <c r="CL58" s="1" t="s">
        <v>671</v>
      </c>
      <c r="CM58" s="1">
        <v>0</v>
      </c>
      <c r="CN58" s="1">
        <v>0</v>
      </c>
      <c r="CP58" s="1">
        <v>0</v>
      </c>
      <c r="CQ58" s="1">
        <v>0</v>
      </c>
    </row>
    <row r="59" spans="1:95" x14ac:dyDescent="0.3">
      <c r="A59" s="1">
        <v>6</v>
      </c>
      <c r="B59" s="1">
        <v>2</v>
      </c>
      <c r="C59" s="1" t="s">
        <v>904</v>
      </c>
      <c r="D59" s="1">
        <v>15</v>
      </c>
      <c r="F59" s="1" t="s">
        <v>812</v>
      </c>
      <c r="G59" s="1" t="s">
        <v>57</v>
      </c>
      <c r="H59" s="1" t="s">
        <v>905</v>
      </c>
      <c r="I59" s="1" t="s">
        <v>906</v>
      </c>
      <c r="J59" s="1" t="s">
        <v>907</v>
      </c>
      <c r="L59" s="1" t="s">
        <v>908</v>
      </c>
      <c r="M59" s="1" t="s">
        <v>909</v>
      </c>
      <c r="O59" s="1" t="s">
        <v>910</v>
      </c>
      <c r="V59" s="1" t="s">
        <v>911</v>
      </c>
      <c r="X59" s="1" t="s">
        <v>912</v>
      </c>
      <c r="Y59" s="1" t="s">
        <v>913</v>
      </c>
      <c r="AC59" s="1" t="s">
        <v>914</v>
      </c>
      <c r="AE59" s="1" t="s">
        <v>915</v>
      </c>
      <c r="AG59" s="1" t="s">
        <v>916</v>
      </c>
      <c r="AT59" s="1" t="s">
        <v>57</v>
      </c>
      <c r="AU59" s="1" t="s">
        <v>917</v>
      </c>
      <c r="CA59" s="1">
        <v>5</v>
      </c>
      <c r="CB59" s="1">
        <v>1</v>
      </c>
      <c r="CC59" s="1" t="s">
        <v>267</v>
      </c>
      <c r="CD59" s="1">
        <v>1</v>
      </c>
      <c r="CE59" s="1">
        <v>2</v>
      </c>
      <c r="CF59" s="1" t="s">
        <v>671</v>
      </c>
      <c r="CG59" s="1">
        <v>0</v>
      </c>
      <c r="CH59" s="1">
        <v>0</v>
      </c>
      <c r="CJ59" s="1">
        <v>0</v>
      </c>
      <c r="CK59" s="1">
        <v>0</v>
      </c>
      <c r="CM59" s="1">
        <v>0</v>
      </c>
      <c r="CN59" s="1">
        <v>0</v>
      </c>
      <c r="CP59" s="1">
        <v>0</v>
      </c>
      <c r="CQ59" s="1">
        <v>0</v>
      </c>
    </row>
    <row r="60" spans="1:95" x14ac:dyDescent="0.3">
      <c r="A60" s="1">
        <v>5</v>
      </c>
      <c r="B60" s="1">
        <v>3</v>
      </c>
      <c r="C60" s="1" t="s">
        <v>918</v>
      </c>
      <c r="D60" s="1">
        <v>15</v>
      </c>
      <c r="F60" s="1" t="s">
        <v>812</v>
      </c>
      <c r="G60" s="1" t="s">
        <v>57</v>
      </c>
      <c r="H60" s="1" t="s">
        <v>919</v>
      </c>
      <c r="I60" s="1" t="s">
        <v>920</v>
      </c>
      <c r="J60" s="1" t="s">
        <v>921</v>
      </c>
      <c r="L60" s="1" t="s">
        <v>922</v>
      </c>
      <c r="M60" s="1" t="s">
        <v>923</v>
      </c>
      <c r="O60" s="1" t="s">
        <v>924</v>
      </c>
      <c r="V60" s="1" t="s">
        <v>925</v>
      </c>
      <c r="X60" s="1" t="s">
        <v>926</v>
      </c>
      <c r="Y60" s="1" t="s">
        <v>927</v>
      </c>
      <c r="AC60" s="1" t="s">
        <v>928</v>
      </c>
      <c r="AE60" s="1" t="s">
        <v>929</v>
      </c>
      <c r="AG60" s="1" t="s">
        <v>930</v>
      </c>
      <c r="AT60" s="1" t="s">
        <v>57</v>
      </c>
      <c r="AU60" s="1" t="s">
        <v>931</v>
      </c>
      <c r="CA60" s="1">
        <v>4</v>
      </c>
      <c r="CB60" s="1">
        <v>2</v>
      </c>
      <c r="CC60" s="1" t="s">
        <v>125</v>
      </c>
      <c r="CD60" s="1">
        <v>2</v>
      </c>
      <c r="CE60" s="1">
        <v>1</v>
      </c>
      <c r="CF60" s="1" t="s">
        <v>652</v>
      </c>
      <c r="CG60" s="1">
        <v>0</v>
      </c>
      <c r="CH60" s="1">
        <v>0</v>
      </c>
      <c r="CJ60" s="1">
        <v>0</v>
      </c>
      <c r="CK60" s="1">
        <v>0</v>
      </c>
      <c r="CM60" s="1">
        <v>0</v>
      </c>
      <c r="CN60" s="1">
        <v>0</v>
      </c>
      <c r="CP60" s="1">
        <v>0</v>
      </c>
      <c r="CQ60" s="1">
        <v>0</v>
      </c>
    </row>
    <row r="61" spans="1:95" x14ac:dyDescent="0.3">
      <c r="A61" s="1">
        <v>5</v>
      </c>
      <c r="B61" s="1">
        <v>2</v>
      </c>
      <c r="C61" s="1" t="s">
        <v>932</v>
      </c>
      <c r="D61" s="1">
        <v>16</v>
      </c>
      <c r="F61" s="1" t="s">
        <v>812</v>
      </c>
      <c r="G61" s="1" t="s">
        <v>57</v>
      </c>
      <c r="H61" s="1" t="s">
        <v>933</v>
      </c>
      <c r="I61" s="1" t="s">
        <v>934</v>
      </c>
      <c r="J61" s="1" t="s">
        <v>935</v>
      </c>
      <c r="K61" s="1" t="s">
        <v>936</v>
      </c>
      <c r="M61" s="1" t="s">
        <v>937</v>
      </c>
      <c r="O61" s="1" t="s">
        <v>938</v>
      </c>
      <c r="V61" s="1" t="s">
        <v>939</v>
      </c>
      <c r="X61" s="1" t="s">
        <v>940</v>
      </c>
      <c r="Y61" s="1" t="s">
        <v>941</v>
      </c>
      <c r="AB61" s="1" t="s">
        <v>942</v>
      </c>
      <c r="AC61" s="1" t="s">
        <v>943</v>
      </c>
      <c r="AE61" s="1" t="s">
        <v>944</v>
      </c>
      <c r="AG61" s="1" t="s">
        <v>945</v>
      </c>
      <c r="AT61" s="1" t="s">
        <v>57</v>
      </c>
      <c r="AU61" s="1" t="s">
        <v>946</v>
      </c>
      <c r="CA61" s="1">
        <v>4</v>
      </c>
      <c r="CB61" s="1">
        <v>1</v>
      </c>
      <c r="CC61" s="1" t="s">
        <v>583</v>
      </c>
      <c r="CD61" s="1">
        <v>1</v>
      </c>
      <c r="CE61" s="1">
        <v>3</v>
      </c>
      <c r="CF61" s="1" t="s">
        <v>748</v>
      </c>
      <c r="CG61" s="1">
        <v>4</v>
      </c>
      <c r="CH61" s="1">
        <v>1</v>
      </c>
      <c r="CI61" s="1" t="s">
        <v>583</v>
      </c>
      <c r="CJ61" s="1">
        <v>0</v>
      </c>
      <c r="CK61" s="1">
        <v>0</v>
      </c>
      <c r="CM61" s="1">
        <v>0</v>
      </c>
      <c r="CN61" s="1">
        <v>0</v>
      </c>
      <c r="CP61" s="1">
        <v>0</v>
      </c>
      <c r="CQ61" s="1">
        <v>0</v>
      </c>
    </row>
    <row r="62" spans="1:95" x14ac:dyDescent="0.3">
      <c r="A62" s="1">
        <v>4</v>
      </c>
      <c r="B62" s="1">
        <v>3</v>
      </c>
      <c r="C62" s="1" t="s">
        <v>947</v>
      </c>
      <c r="D62" s="1">
        <v>12</v>
      </c>
      <c r="F62" s="1" t="s">
        <v>812</v>
      </c>
      <c r="G62" s="1" t="s">
        <v>57</v>
      </c>
      <c r="H62" s="1" t="s">
        <v>948</v>
      </c>
      <c r="K62" s="1" t="s">
        <v>949</v>
      </c>
      <c r="M62" s="1" t="s">
        <v>950</v>
      </c>
      <c r="V62" s="1" t="s">
        <v>951</v>
      </c>
      <c r="X62" s="1" t="s">
        <v>952</v>
      </c>
      <c r="Y62" s="1" t="s">
        <v>953</v>
      </c>
      <c r="AB62" s="1" t="s">
        <v>954</v>
      </c>
      <c r="AC62" s="1" t="s">
        <v>955</v>
      </c>
      <c r="AE62" s="1" t="s">
        <v>956</v>
      </c>
      <c r="AG62" s="1" t="s">
        <v>957</v>
      </c>
      <c r="AT62" s="1" t="s">
        <v>57</v>
      </c>
      <c r="AU62" s="1" t="s">
        <v>958</v>
      </c>
      <c r="CA62" s="1">
        <v>3</v>
      </c>
      <c r="CB62" s="1">
        <v>2</v>
      </c>
      <c r="CC62" s="1" t="s">
        <v>636</v>
      </c>
      <c r="CD62" s="1">
        <v>2</v>
      </c>
      <c r="CE62" s="1">
        <v>2</v>
      </c>
      <c r="CF62" s="1" t="s">
        <v>733</v>
      </c>
      <c r="CG62" s="1">
        <v>4</v>
      </c>
      <c r="CH62" s="1">
        <v>2</v>
      </c>
      <c r="CI62" s="1" t="s">
        <v>125</v>
      </c>
      <c r="CJ62" s="1">
        <v>0</v>
      </c>
      <c r="CK62" s="1">
        <v>0</v>
      </c>
      <c r="CM62" s="1">
        <v>0</v>
      </c>
      <c r="CN62" s="1">
        <v>0</v>
      </c>
      <c r="CP62" s="1">
        <v>0</v>
      </c>
      <c r="CQ62" s="1">
        <v>0</v>
      </c>
    </row>
    <row r="63" spans="1:95" x14ac:dyDescent="0.3">
      <c r="A63" s="1">
        <v>4</v>
      </c>
      <c r="B63" s="1">
        <v>2</v>
      </c>
      <c r="C63" s="1" t="s">
        <v>917</v>
      </c>
      <c r="D63" s="1">
        <v>11</v>
      </c>
      <c r="F63" s="1" t="s">
        <v>812</v>
      </c>
      <c r="G63" s="1" t="s">
        <v>57</v>
      </c>
      <c r="H63" s="1" t="s">
        <v>959</v>
      </c>
      <c r="K63" s="1" t="s">
        <v>960</v>
      </c>
      <c r="L63" s="1" t="s">
        <v>961</v>
      </c>
      <c r="M63" s="1" t="s">
        <v>962</v>
      </c>
      <c r="V63" s="1" t="s">
        <v>963</v>
      </c>
      <c r="X63" s="1" t="s">
        <v>964</v>
      </c>
      <c r="Y63" s="1" t="s">
        <v>965</v>
      </c>
      <c r="AB63" s="1" t="s">
        <v>966</v>
      </c>
      <c r="AC63" s="1" t="s">
        <v>967</v>
      </c>
      <c r="AE63" s="1" t="s">
        <v>968</v>
      </c>
      <c r="AT63" s="1" t="s">
        <v>57</v>
      </c>
      <c r="AU63" s="1" t="s">
        <v>823</v>
      </c>
      <c r="CA63" s="1">
        <v>3</v>
      </c>
      <c r="CB63" s="1">
        <v>1</v>
      </c>
      <c r="CC63" s="1" t="s">
        <v>619</v>
      </c>
      <c r="CD63" s="1">
        <v>1</v>
      </c>
      <c r="CE63" s="1">
        <v>4</v>
      </c>
      <c r="CF63" s="1" t="s">
        <v>759</v>
      </c>
      <c r="CG63" s="1">
        <v>3</v>
      </c>
      <c r="CH63" s="1">
        <v>2</v>
      </c>
      <c r="CI63" s="1" t="s">
        <v>636</v>
      </c>
      <c r="CJ63" s="1">
        <v>0</v>
      </c>
      <c r="CK63" s="1">
        <v>0</v>
      </c>
      <c r="CM63" s="1">
        <v>0</v>
      </c>
      <c r="CN63" s="1">
        <v>0</v>
      </c>
      <c r="CP63" s="1">
        <v>0</v>
      </c>
      <c r="CQ63" s="1">
        <v>0</v>
      </c>
    </row>
    <row r="64" spans="1:95" x14ac:dyDescent="0.3">
      <c r="A64" s="1">
        <v>3</v>
      </c>
      <c r="B64" s="1">
        <v>3</v>
      </c>
      <c r="C64" s="1" t="s">
        <v>931</v>
      </c>
      <c r="D64" s="1">
        <v>16</v>
      </c>
      <c r="F64" s="1" t="s">
        <v>812</v>
      </c>
      <c r="G64" s="1" t="s">
        <v>57</v>
      </c>
      <c r="H64" s="1" t="s">
        <v>969</v>
      </c>
      <c r="I64" s="1" t="s">
        <v>970</v>
      </c>
      <c r="J64" s="1" t="s">
        <v>971</v>
      </c>
      <c r="K64" s="1" t="s">
        <v>972</v>
      </c>
      <c r="L64" s="1" t="s">
        <v>973</v>
      </c>
      <c r="M64" s="1" t="s">
        <v>974</v>
      </c>
      <c r="O64" s="1" t="s">
        <v>975</v>
      </c>
      <c r="V64" s="1" t="s">
        <v>976</v>
      </c>
      <c r="X64" s="1" t="s">
        <v>977</v>
      </c>
      <c r="Y64" s="1" t="s">
        <v>978</v>
      </c>
      <c r="AB64" s="1" t="s">
        <v>979</v>
      </c>
      <c r="AC64" s="1" t="s">
        <v>980</v>
      </c>
      <c r="AE64" s="1" t="s">
        <v>981</v>
      </c>
      <c r="AG64" s="1" t="s">
        <v>982</v>
      </c>
      <c r="AT64" s="1" t="s">
        <v>57</v>
      </c>
      <c r="AU64" s="1" t="s">
        <v>904</v>
      </c>
      <c r="CA64" s="1">
        <v>2</v>
      </c>
      <c r="CB64" s="1">
        <v>2</v>
      </c>
      <c r="CC64" s="1" t="s">
        <v>733</v>
      </c>
      <c r="CD64" s="1">
        <v>2</v>
      </c>
      <c r="CE64" s="1">
        <v>3</v>
      </c>
      <c r="CF64" s="1" t="s">
        <v>687</v>
      </c>
      <c r="CG64" s="1">
        <v>2</v>
      </c>
      <c r="CH64" s="1">
        <v>2</v>
      </c>
      <c r="CI64" s="1" t="s">
        <v>733</v>
      </c>
      <c r="CJ64" s="1">
        <v>0</v>
      </c>
      <c r="CK64" s="1">
        <v>0</v>
      </c>
      <c r="CM64" s="1">
        <v>0</v>
      </c>
      <c r="CN64" s="1">
        <v>0</v>
      </c>
      <c r="CP64" s="1">
        <v>0</v>
      </c>
      <c r="CQ64" s="1">
        <v>0</v>
      </c>
    </row>
    <row r="65" spans="1:95" x14ac:dyDescent="0.3">
      <c r="A65" s="1">
        <v>3</v>
      </c>
      <c r="B65" s="1">
        <v>2</v>
      </c>
      <c r="C65" s="1" t="s">
        <v>946</v>
      </c>
      <c r="D65" s="1">
        <v>11</v>
      </c>
      <c r="F65" s="1" t="s">
        <v>812</v>
      </c>
      <c r="G65" s="1" t="s">
        <v>231</v>
      </c>
      <c r="H65" s="1" t="s">
        <v>983</v>
      </c>
      <c r="J65" s="1" t="s">
        <v>984</v>
      </c>
      <c r="M65" s="1" t="s">
        <v>985</v>
      </c>
      <c r="O65" s="1" t="s">
        <v>986</v>
      </c>
      <c r="V65" s="1" t="s">
        <v>987</v>
      </c>
      <c r="X65" s="1" t="s">
        <v>988</v>
      </c>
      <c r="Y65" s="1" t="s">
        <v>989</v>
      </c>
      <c r="AB65" s="1" t="s">
        <v>990</v>
      </c>
      <c r="AC65" s="1" t="s">
        <v>991</v>
      </c>
      <c r="AE65" s="1" t="s">
        <v>992</v>
      </c>
      <c r="AT65" s="1" t="s">
        <v>57</v>
      </c>
      <c r="AU65" s="1" t="s">
        <v>918</v>
      </c>
      <c r="CA65" s="1">
        <v>2</v>
      </c>
      <c r="CB65" s="1">
        <v>1</v>
      </c>
      <c r="CC65" s="1" t="s">
        <v>652</v>
      </c>
      <c r="CD65" s="1">
        <v>1</v>
      </c>
      <c r="CE65" s="1">
        <v>5</v>
      </c>
      <c r="CF65" s="1" t="s">
        <v>993</v>
      </c>
      <c r="CG65" s="1">
        <v>2</v>
      </c>
      <c r="CH65" s="1">
        <v>1</v>
      </c>
      <c r="CI65" s="1" t="s">
        <v>652</v>
      </c>
      <c r="CJ65" s="1">
        <v>0</v>
      </c>
      <c r="CK65" s="1">
        <v>0</v>
      </c>
      <c r="CM65" s="1">
        <v>0</v>
      </c>
      <c r="CN65" s="1">
        <v>0</v>
      </c>
      <c r="CP65" s="1">
        <v>0</v>
      </c>
      <c r="CQ65" s="1">
        <v>0</v>
      </c>
    </row>
    <row r="66" spans="1:95" x14ac:dyDescent="0.3">
      <c r="A66" s="1">
        <v>2</v>
      </c>
      <c r="B66" s="1">
        <v>3</v>
      </c>
      <c r="C66" s="1" t="s">
        <v>958</v>
      </c>
      <c r="D66" s="1">
        <v>14</v>
      </c>
      <c r="F66" s="1" t="s">
        <v>812</v>
      </c>
      <c r="G66" s="1" t="s">
        <v>57</v>
      </c>
      <c r="H66" s="1" t="s">
        <v>994</v>
      </c>
      <c r="I66" s="1" t="s">
        <v>995</v>
      </c>
      <c r="J66" s="1" t="s">
        <v>996</v>
      </c>
      <c r="M66" s="1" t="s">
        <v>997</v>
      </c>
      <c r="O66" s="1" t="s">
        <v>998</v>
      </c>
      <c r="V66" s="1" t="s">
        <v>999</v>
      </c>
      <c r="X66" s="1" t="s">
        <v>1000</v>
      </c>
      <c r="Y66" s="1" t="s">
        <v>1001</v>
      </c>
      <c r="AB66" s="1" t="s">
        <v>1002</v>
      </c>
      <c r="AC66" s="1" t="s">
        <v>1003</v>
      </c>
      <c r="AE66" s="1" t="s">
        <v>1004</v>
      </c>
      <c r="AG66" s="1" t="s">
        <v>1005</v>
      </c>
      <c r="AT66" s="1" t="s">
        <v>57</v>
      </c>
      <c r="AU66" s="1" t="s">
        <v>932</v>
      </c>
      <c r="CA66" s="1">
        <v>1</v>
      </c>
      <c r="CB66" s="1">
        <v>2</v>
      </c>
      <c r="CC66" s="1" t="s">
        <v>671</v>
      </c>
      <c r="CD66" s="1">
        <v>2</v>
      </c>
      <c r="CE66" s="1">
        <v>4</v>
      </c>
      <c r="CF66" s="1" t="s">
        <v>703</v>
      </c>
      <c r="CG66" s="1">
        <v>1</v>
      </c>
      <c r="CH66" s="1">
        <v>2</v>
      </c>
      <c r="CI66" s="1" t="s">
        <v>671</v>
      </c>
      <c r="CJ66" s="1">
        <v>0</v>
      </c>
      <c r="CK66" s="1">
        <v>0</v>
      </c>
      <c r="CM66" s="1">
        <v>0</v>
      </c>
      <c r="CN66" s="1">
        <v>0</v>
      </c>
      <c r="CP66" s="1">
        <v>0</v>
      </c>
      <c r="CQ66" s="1">
        <v>0</v>
      </c>
    </row>
    <row r="67" spans="1:95" x14ac:dyDescent="0.3">
      <c r="A67" s="1">
        <v>2</v>
      </c>
      <c r="B67" s="1">
        <v>4</v>
      </c>
      <c r="C67" s="1" t="s">
        <v>1006</v>
      </c>
      <c r="D67" s="1">
        <v>12</v>
      </c>
      <c r="F67" s="1" t="s">
        <v>1007</v>
      </c>
      <c r="G67" s="1" t="s">
        <v>57</v>
      </c>
      <c r="H67" s="1" t="s">
        <v>1008</v>
      </c>
      <c r="I67" s="1" t="s">
        <v>1009</v>
      </c>
      <c r="J67" s="1" t="s">
        <v>1010</v>
      </c>
      <c r="O67" s="1" t="s">
        <v>1011</v>
      </c>
      <c r="T67" s="1" t="s">
        <v>1012</v>
      </c>
      <c r="U67" s="1" t="s">
        <v>1013</v>
      </c>
      <c r="V67" s="1" t="s">
        <v>1014</v>
      </c>
      <c r="X67" s="1" t="s">
        <v>1015</v>
      </c>
      <c r="Y67" s="1" t="s">
        <v>1016</v>
      </c>
      <c r="AT67" s="1" t="s">
        <v>57</v>
      </c>
      <c r="AU67" s="1" t="s">
        <v>1017</v>
      </c>
      <c r="CA67" s="1">
        <v>1</v>
      </c>
      <c r="CB67" s="1">
        <v>3</v>
      </c>
      <c r="CC67" s="1" t="s">
        <v>748</v>
      </c>
      <c r="CD67" s="1">
        <v>2</v>
      </c>
      <c r="CE67" s="1">
        <v>5</v>
      </c>
      <c r="CF67" s="1" t="s">
        <v>1018</v>
      </c>
      <c r="CG67" s="1">
        <v>0</v>
      </c>
      <c r="CH67" s="1">
        <v>0</v>
      </c>
      <c r="CJ67" s="1">
        <v>0</v>
      </c>
      <c r="CK67" s="1">
        <v>0</v>
      </c>
      <c r="CM67" s="1">
        <v>0</v>
      </c>
      <c r="CN67" s="1">
        <v>0</v>
      </c>
      <c r="CP67" s="1">
        <v>0</v>
      </c>
      <c r="CQ67" s="1">
        <v>0</v>
      </c>
    </row>
    <row r="68" spans="1:95" x14ac:dyDescent="0.3">
      <c r="A68" s="1">
        <v>3</v>
      </c>
      <c r="B68" s="1">
        <v>4</v>
      </c>
      <c r="C68" s="1" t="s">
        <v>1019</v>
      </c>
      <c r="D68" s="1">
        <v>12</v>
      </c>
      <c r="F68" s="1" t="s">
        <v>1007</v>
      </c>
      <c r="G68" s="1" t="s">
        <v>57</v>
      </c>
      <c r="H68" s="1" t="s">
        <v>1020</v>
      </c>
      <c r="I68" s="1" t="s">
        <v>1021</v>
      </c>
      <c r="J68" s="1" t="s">
        <v>1022</v>
      </c>
      <c r="O68" s="1" t="s">
        <v>1023</v>
      </c>
      <c r="T68" s="1" t="s">
        <v>1024</v>
      </c>
      <c r="U68" s="1" t="s">
        <v>1025</v>
      </c>
      <c r="V68" s="1" t="s">
        <v>1026</v>
      </c>
      <c r="X68" s="1" t="s">
        <v>1027</v>
      </c>
      <c r="Y68" s="1" t="s">
        <v>1028</v>
      </c>
      <c r="AT68" s="1" t="s">
        <v>57</v>
      </c>
      <c r="AU68" s="1" t="s">
        <v>1029</v>
      </c>
      <c r="CA68" s="1">
        <v>2</v>
      </c>
      <c r="CB68" s="1">
        <v>3</v>
      </c>
      <c r="CC68" s="1" t="s">
        <v>687</v>
      </c>
      <c r="CD68" s="1">
        <v>1</v>
      </c>
      <c r="CE68" s="1">
        <v>6</v>
      </c>
      <c r="CF68" s="1" t="s">
        <v>1030</v>
      </c>
      <c r="CG68" s="1">
        <v>0</v>
      </c>
      <c r="CH68" s="1">
        <v>0</v>
      </c>
      <c r="CJ68" s="1">
        <v>0</v>
      </c>
      <c r="CK68" s="1">
        <v>0</v>
      </c>
      <c r="CM68" s="1">
        <v>0</v>
      </c>
      <c r="CN68" s="1">
        <v>0</v>
      </c>
      <c r="CP68" s="1">
        <v>0</v>
      </c>
      <c r="CQ68" s="1">
        <v>0</v>
      </c>
    </row>
    <row r="69" spans="1:95" x14ac:dyDescent="0.3">
      <c r="A69" s="1">
        <v>4</v>
      </c>
      <c r="B69" s="1">
        <v>4</v>
      </c>
      <c r="C69" s="1" t="s">
        <v>1031</v>
      </c>
      <c r="D69" s="1">
        <v>16</v>
      </c>
      <c r="F69" s="1" t="s">
        <v>1007</v>
      </c>
      <c r="G69" s="1" t="s">
        <v>57</v>
      </c>
      <c r="H69" s="1" t="s">
        <v>1032</v>
      </c>
      <c r="I69" s="1" t="s">
        <v>1033</v>
      </c>
      <c r="J69" s="1" t="s">
        <v>1034</v>
      </c>
      <c r="K69" s="1" t="s">
        <v>1035</v>
      </c>
      <c r="L69" s="1" t="s">
        <v>1036</v>
      </c>
      <c r="O69" s="1" t="s">
        <v>1037</v>
      </c>
      <c r="T69" s="1" t="s">
        <v>1038</v>
      </c>
      <c r="U69" s="1" t="s">
        <v>1039</v>
      </c>
      <c r="V69" s="1" t="s">
        <v>1040</v>
      </c>
      <c r="X69" s="1" t="s">
        <v>1041</v>
      </c>
      <c r="Y69" s="1" t="s">
        <v>1042</v>
      </c>
      <c r="AB69" s="1" t="s">
        <v>1043</v>
      </c>
      <c r="AE69" s="1" t="s">
        <v>1044</v>
      </c>
      <c r="AT69" s="1" t="s">
        <v>57</v>
      </c>
      <c r="AU69" s="1" t="s">
        <v>1045</v>
      </c>
      <c r="CA69" s="1">
        <v>3</v>
      </c>
      <c r="CB69" s="1">
        <v>3</v>
      </c>
      <c r="CC69" s="1" t="s">
        <v>599</v>
      </c>
      <c r="CD69" s="1">
        <v>2</v>
      </c>
      <c r="CE69" s="1">
        <v>6</v>
      </c>
      <c r="CF69" s="1" t="s">
        <v>1046</v>
      </c>
      <c r="CG69" s="1">
        <v>0</v>
      </c>
      <c r="CH69" s="1">
        <v>0</v>
      </c>
      <c r="CJ69" s="1">
        <v>0</v>
      </c>
      <c r="CK69" s="1">
        <v>0</v>
      </c>
      <c r="CM69" s="1">
        <v>0</v>
      </c>
      <c r="CN69" s="1">
        <v>0</v>
      </c>
      <c r="CP69" s="1">
        <v>0</v>
      </c>
      <c r="CQ69" s="1">
        <v>0</v>
      </c>
    </row>
    <row r="70" spans="1:95" x14ac:dyDescent="0.3">
      <c r="A70" s="1">
        <v>2</v>
      </c>
      <c r="B70" s="1">
        <v>5</v>
      </c>
      <c r="C70" s="1" t="s">
        <v>1047</v>
      </c>
      <c r="D70" s="1">
        <v>15</v>
      </c>
      <c r="F70" s="1" t="s">
        <v>1007</v>
      </c>
      <c r="G70" s="1" t="s">
        <v>57</v>
      </c>
      <c r="H70" s="1" t="s">
        <v>1048</v>
      </c>
      <c r="I70" s="1" t="s">
        <v>1049</v>
      </c>
      <c r="K70" s="1" t="s">
        <v>1050</v>
      </c>
      <c r="L70" s="1" t="s">
        <v>1051</v>
      </c>
      <c r="M70" s="1" t="s">
        <v>1052</v>
      </c>
      <c r="O70" s="1" t="s">
        <v>1053</v>
      </c>
      <c r="T70" s="1" t="s">
        <v>1054</v>
      </c>
      <c r="U70" s="1" t="s">
        <v>1055</v>
      </c>
      <c r="V70" s="1" t="s">
        <v>1056</v>
      </c>
      <c r="X70" s="1" t="s">
        <v>1057</v>
      </c>
      <c r="Y70" s="1" t="s">
        <v>1058</v>
      </c>
      <c r="AB70" s="1" t="s">
        <v>1059</v>
      </c>
      <c r="AT70" s="1" t="s">
        <v>57</v>
      </c>
      <c r="AU70" s="1" t="s">
        <v>1060</v>
      </c>
      <c r="CA70" s="1">
        <v>1</v>
      </c>
      <c r="CB70" s="1">
        <v>4</v>
      </c>
      <c r="CC70" s="1" t="s">
        <v>759</v>
      </c>
      <c r="CD70" s="1">
        <v>1</v>
      </c>
      <c r="CE70" s="1">
        <v>7</v>
      </c>
      <c r="CF70" s="1" t="s">
        <v>1061</v>
      </c>
      <c r="CG70" s="1">
        <v>0</v>
      </c>
      <c r="CH70" s="1">
        <v>0</v>
      </c>
      <c r="CJ70" s="1">
        <v>0</v>
      </c>
      <c r="CK70" s="1">
        <v>0</v>
      </c>
      <c r="CM70" s="1">
        <v>0</v>
      </c>
      <c r="CN70" s="1">
        <v>0</v>
      </c>
      <c r="CP70" s="1">
        <v>0</v>
      </c>
      <c r="CQ70" s="1">
        <v>0</v>
      </c>
    </row>
    <row r="71" spans="1:95" x14ac:dyDescent="0.3">
      <c r="A71" s="1">
        <v>3</v>
      </c>
      <c r="B71" s="1">
        <v>5</v>
      </c>
      <c r="C71" s="1" t="s">
        <v>1062</v>
      </c>
      <c r="D71" s="1">
        <v>14</v>
      </c>
      <c r="F71" s="1" t="s">
        <v>1007</v>
      </c>
      <c r="G71" s="1" t="s">
        <v>57</v>
      </c>
      <c r="H71" s="1" t="s">
        <v>1063</v>
      </c>
      <c r="K71" s="1" t="s">
        <v>1064</v>
      </c>
      <c r="M71" s="1" t="s">
        <v>1065</v>
      </c>
      <c r="O71" s="1" t="s">
        <v>1066</v>
      </c>
      <c r="T71" s="1" t="s">
        <v>1067</v>
      </c>
      <c r="U71" s="1" t="s">
        <v>1068</v>
      </c>
      <c r="V71" s="1" t="s">
        <v>1069</v>
      </c>
      <c r="X71" s="1" t="s">
        <v>1070</v>
      </c>
      <c r="Y71" s="1" t="s">
        <v>1071</v>
      </c>
      <c r="AB71" s="1" t="s">
        <v>1072</v>
      </c>
      <c r="AD71" s="1" t="s">
        <v>1073</v>
      </c>
      <c r="AT71" s="1" t="s">
        <v>57</v>
      </c>
      <c r="AU71" s="1" t="s">
        <v>1074</v>
      </c>
      <c r="CA71" s="1">
        <v>2</v>
      </c>
      <c r="CB71" s="1">
        <v>4</v>
      </c>
      <c r="CC71" s="1" t="s">
        <v>703</v>
      </c>
      <c r="CD71" s="1">
        <v>2</v>
      </c>
      <c r="CE71" s="1">
        <v>7</v>
      </c>
      <c r="CF71" s="1" t="s">
        <v>1075</v>
      </c>
      <c r="CG71" s="1">
        <v>0</v>
      </c>
      <c r="CH71" s="1">
        <v>0</v>
      </c>
      <c r="CJ71" s="1">
        <v>0</v>
      </c>
      <c r="CK71" s="1">
        <v>0</v>
      </c>
      <c r="CM71" s="1">
        <v>0</v>
      </c>
      <c r="CN71" s="1">
        <v>0</v>
      </c>
      <c r="CP71" s="1">
        <v>0</v>
      </c>
      <c r="CQ71" s="1">
        <v>0</v>
      </c>
    </row>
    <row r="72" spans="1:95" x14ac:dyDescent="0.3">
      <c r="A72" s="1">
        <v>2</v>
      </c>
      <c r="B72" s="1">
        <v>6</v>
      </c>
      <c r="C72" s="1" t="s">
        <v>1076</v>
      </c>
      <c r="D72" s="1">
        <v>17</v>
      </c>
      <c r="F72" s="1" t="s">
        <v>1007</v>
      </c>
      <c r="G72" s="1" t="s">
        <v>57</v>
      </c>
      <c r="H72" s="1" t="s">
        <v>1077</v>
      </c>
      <c r="I72" s="1" t="s">
        <v>1078</v>
      </c>
      <c r="J72" s="1" t="s">
        <v>1079</v>
      </c>
      <c r="K72" s="1" t="s">
        <v>1080</v>
      </c>
      <c r="M72" s="1" t="s">
        <v>1081</v>
      </c>
      <c r="O72" s="1" t="s">
        <v>1082</v>
      </c>
      <c r="T72" s="1" t="s">
        <v>1083</v>
      </c>
      <c r="U72" s="1" t="s">
        <v>1084</v>
      </c>
      <c r="V72" s="1" t="s">
        <v>1085</v>
      </c>
      <c r="X72" s="1" t="s">
        <v>1086</v>
      </c>
      <c r="Y72" s="1" t="s">
        <v>1087</v>
      </c>
      <c r="AB72" s="1" t="s">
        <v>1088</v>
      </c>
      <c r="AC72" s="1" t="s">
        <v>1089</v>
      </c>
      <c r="AD72" s="1" t="s">
        <v>1090</v>
      </c>
      <c r="AT72" s="1" t="s">
        <v>57</v>
      </c>
      <c r="AU72" s="1" t="s">
        <v>1091</v>
      </c>
      <c r="CA72" s="1">
        <v>1</v>
      </c>
      <c r="CB72" s="1">
        <v>5</v>
      </c>
      <c r="CC72" s="1" t="s">
        <v>993</v>
      </c>
      <c r="CD72" s="1">
        <v>1</v>
      </c>
      <c r="CE72" s="1">
        <v>8</v>
      </c>
      <c r="CF72" s="1" t="s">
        <v>1092</v>
      </c>
      <c r="CG72" s="1">
        <v>0</v>
      </c>
      <c r="CH72" s="1">
        <v>0</v>
      </c>
      <c r="CJ72" s="1">
        <v>0</v>
      </c>
      <c r="CK72" s="1">
        <v>0</v>
      </c>
      <c r="CM72" s="1">
        <v>0</v>
      </c>
      <c r="CN72" s="1">
        <v>0</v>
      </c>
      <c r="CP72" s="1">
        <v>0</v>
      </c>
      <c r="CQ72" s="1">
        <v>0</v>
      </c>
    </row>
    <row r="73" spans="1:95" x14ac:dyDescent="0.3">
      <c r="A73" s="1">
        <v>3</v>
      </c>
      <c r="B73" s="1">
        <v>6</v>
      </c>
      <c r="C73" s="1" t="s">
        <v>1093</v>
      </c>
      <c r="D73" s="1">
        <v>16</v>
      </c>
      <c r="F73" s="1" t="s">
        <v>1007</v>
      </c>
      <c r="G73" s="1" t="s">
        <v>57</v>
      </c>
      <c r="H73" s="1" t="s">
        <v>1094</v>
      </c>
      <c r="I73" s="1" t="s">
        <v>1095</v>
      </c>
      <c r="J73" s="1" t="s">
        <v>1096</v>
      </c>
      <c r="L73" s="1" t="s">
        <v>1097</v>
      </c>
      <c r="M73" s="1" t="s">
        <v>1098</v>
      </c>
      <c r="T73" s="1" t="s">
        <v>1099</v>
      </c>
      <c r="U73" s="1" t="s">
        <v>1100</v>
      </c>
      <c r="V73" s="1" t="s">
        <v>1101</v>
      </c>
      <c r="X73" s="1" t="s">
        <v>1102</v>
      </c>
      <c r="Y73" s="1" t="s">
        <v>1103</v>
      </c>
      <c r="AB73" s="1" t="s">
        <v>1104</v>
      </c>
      <c r="AC73" s="1" t="s">
        <v>1105</v>
      </c>
      <c r="AD73" s="1" t="s">
        <v>1106</v>
      </c>
      <c r="AT73" s="1" t="s">
        <v>57</v>
      </c>
      <c r="AU73" s="1" t="s">
        <v>1107</v>
      </c>
      <c r="CA73" s="1">
        <v>2</v>
      </c>
      <c r="CB73" s="1">
        <v>5</v>
      </c>
      <c r="CC73" s="1" t="s">
        <v>1018</v>
      </c>
      <c r="CD73" s="1">
        <v>2</v>
      </c>
      <c r="CE73" s="1">
        <v>8</v>
      </c>
      <c r="CF73" s="1" t="s">
        <v>1108</v>
      </c>
      <c r="CG73" s="1">
        <v>0</v>
      </c>
      <c r="CH73" s="1">
        <v>0</v>
      </c>
      <c r="CJ73" s="1">
        <v>0</v>
      </c>
      <c r="CK73" s="1">
        <v>0</v>
      </c>
      <c r="CM73" s="1">
        <v>0</v>
      </c>
      <c r="CN73" s="1">
        <v>0</v>
      </c>
      <c r="CP73" s="1">
        <v>0</v>
      </c>
      <c r="CQ73" s="1">
        <v>0</v>
      </c>
    </row>
    <row r="74" spans="1:95" x14ac:dyDescent="0.3">
      <c r="A74" s="1">
        <v>2</v>
      </c>
      <c r="B74" s="1">
        <v>7</v>
      </c>
      <c r="C74" s="1" t="s">
        <v>1109</v>
      </c>
      <c r="D74" s="1">
        <v>16</v>
      </c>
      <c r="F74" s="1" t="s">
        <v>1007</v>
      </c>
      <c r="G74" s="1" t="s">
        <v>231</v>
      </c>
      <c r="H74" s="1" t="s">
        <v>1110</v>
      </c>
      <c r="I74" s="1" t="s">
        <v>1111</v>
      </c>
      <c r="J74" s="1" t="s">
        <v>1112</v>
      </c>
      <c r="L74" s="1" t="s">
        <v>1113</v>
      </c>
      <c r="M74" s="1" t="s">
        <v>1114</v>
      </c>
      <c r="T74" s="1" t="s">
        <v>1115</v>
      </c>
      <c r="U74" s="1" t="s">
        <v>1116</v>
      </c>
      <c r="V74" s="1" t="s">
        <v>1117</v>
      </c>
      <c r="X74" s="1" t="s">
        <v>1118</v>
      </c>
      <c r="Y74" s="1" t="s">
        <v>1119</v>
      </c>
      <c r="AB74" s="1" t="s">
        <v>1120</v>
      </c>
      <c r="AC74" s="1" t="s">
        <v>1121</v>
      </c>
      <c r="AD74" s="1" t="s">
        <v>1122</v>
      </c>
      <c r="AT74" s="1" t="s">
        <v>57</v>
      </c>
      <c r="AU74" s="1" t="s">
        <v>1123</v>
      </c>
      <c r="CA74" s="1">
        <v>1</v>
      </c>
      <c r="CB74" s="1">
        <v>6</v>
      </c>
      <c r="CC74" s="1" t="s">
        <v>1030</v>
      </c>
      <c r="CD74" s="1">
        <v>1</v>
      </c>
      <c r="CE74" s="1">
        <v>9</v>
      </c>
      <c r="CF74" s="1" t="s">
        <v>1124</v>
      </c>
      <c r="CG74" s="1">
        <v>0</v>
      </c>
      <c r="CH74" s="1">
        <v>0</v>
      </c>
      <c r="CJ74" s="1">
        <v>0</v>
      </c>
      <c r="CK74" s="1">
        <v>0</v>
      </c>
      <c r="CM74" s="1">
        <v>0</v>
      </c>
      <c r="CN74" s="1">
        <v>0</v>
      </c>
      <c r="CP74" s="1">
        <v>0</v>
      </c>
      <c r="CQ74" s="1">
        <v>0</v>
      </c>
    </row>
    <row r="75" spans="1:95" x14ac:dyDescent="0.3">
      <c r="A75" s="1">
        <v>3</v>
      </c>
      <c r="B75" s="1">
        <v>7</v>
      </c>
      <c r="C75" s="1" t="s">
        <v>1125</v>
      </c>
      <c r="D75" s="1">
        <v>14</v>
      </c>
      <c r="F75" s="1" t="s">
        <v>1007</v>
      </c>
      <c r="G75" s="1" t="s">
        <v>57</v>
      </c>
      <c r="H75" s="1" t="s">
        <v>1126</v>
      </c>
      <c r="I75" s="1" t="s">
        <v>1127</v>
      </c>
      <c r="J75" s="1" t="s">
        <v>1128</v>
      </c>
      <c r="L75" s="1" t="s">
        <v>1129</v>
      </c>
      <c r="M75" s="1" t="s">
        <v>1130</v>
      </c>
      <c r="O75" s="1" t="s">
        <v>1131</v>
      </c>
      <c r="T75" s="1" t="s">
        <v>1132</v>
      </c>
      <c r="U75" s="1" t="s">
        <v>1133</v>
      </c>
      <c r="V75" s="1" t="s">
        <v>1134</v>
      </c>
      <c r="X75" s="1" t="s">
        <v>1135</v>
      </c>
      <c r="Y75" s="1" t="s">
        <v>1136</v>
      </c>
      <c r="AT75" s="1" t="s">
        <v>57</v>
      </c>
      <c r="AU75" s="1" t="s">
        <v>1137</v>
      </c>
      <c r="CA75" s="1">
        <v>2</v>
      </c>
      <c r="CB75" s="1">
        <v>6</v>
      </c>
      <c r="CC75" s="1" t="s">
        <v>1046</v>
      </c>
      <c r="CD75" s="1">
        <v>2</v>
      </c>
      <c r="CE75" s="1">
        <v>9</v>
      </c>
      <c r="CF75" s="1" t="s">
        <v>1138</v>
      </c>
      <c r="CG75" s="1">
        <v>0</v>
      </c>
      <c r="CH75" s="1">
        <v>0</v>
      </c>
      <c r="CJ75" s="1">
        <v>0</v>
      </c>
      <c r="CK75" s="1">
        <v>0</v>
      </c>
      <c r="CM75" s="1">
        <v>0</v>
      </c>
      <c r="CN75" s="1">
        <v>0</v>
      </c>
      <c r="CP75" s="1">
        <v>0</v>
      </c>
      <c r="CQ75" s="1">
        <v>0</v>
      </c>
    </row>
    <row r="76" spans="1:95" x14ac:dyDescent="0.3">
      <c r="A76" s="1">
        <v>5</v>
      </c>
      <c r="B76" s="1">
        <v>4</v>
      </c>
      <c r="C76" s="1" t="s">
        <v>1017</v>
      </c>
      <c r="D76" s="1">
        <v>15</v>
      </c>
      <c r="F76" s="1" t="s">
        <v>1007</v>
      </c>
      <c r="G76" s="1" t="s">
        <v>57</v>
      </c>
      <c r="H76" s="1" t="s">
        <v>1139</v>
      </c>
      <c r="I76" s="1" t="s">
        <v>1140</v>
      </c>
      <c r="J76" s="1" t="s">
        <v>1141</v>
      </c>
      <c r="L76" s="1" t="s">
        <v>1142</v>
      </c>
      <c r="M76" s="1" t="s">
        <v>1143</v>
      </c>
      <c r="O76" s="1" t="s">
        <v>1144</v>
      </c>
      <c r="T76" s="1" t="s">
        <v>1145</v>
      </c>
      <c r="U76" s="1" t="s">
        <v>1146</v>
      </c>
      <c r="V76" s="1" t="s">
        <v>1147</v>
      </c>
      <c r="X76" s="1" t="s">
        <v>1148</v>
      </c>
      <c r="Y76" s="1" t="s">
        <v>1149</v>
      </c>
      <c r="AE76" s="1" t="s">
        <v>1150</v>
      </c>
      <c r="AT76" s="1" t="s">
        <v>57</v>
      </c>
      <c r="AU76" s="1" t="s">
        <v>1151</v>
      </c>
      <c r="CA76" s="1">
        <v>4</v>
      </c>
      <c r="CB76" s="1">
        <v>3</v>
      </c>
      <c r="CC76" s="1" t="s">
        <v>213</v>
      </c>
      <c r="CD76" s="1">
        <v>3</v>
      </c>
      <c r="CE76" s="1">
        <v>5</v>
      </c>
      <c r="CF76" s="1" t="s">
        <v>1152</v>
      </c>
      <c r="CG76" s="1">
        <v>0</v>
      </c>
      <c r="CH76" s="1">
        <v>0</v>
      </c>
      <c r="CJ76" s="1">
        <v>0</v>
      </c>
      <c r="CK76" s="1">
        <v>0</v>
      </c>
      <c r="CM76" s="1">
        <v>0</v>
      </c>
      <c r="CN76" s="1">
        <v>0</v>
      </c>
      <c r="CP76" s="1">
        <v>0</v>
      </c>
      <c r="CQ76" s="1">
        <v>0</v>
      </c>
    </row>
    <row r="77" spans="1:95" x14ac:dyDescent="0.3">
      <c r="A77" s="1">
        <v>4</v>
      </c>
      <c r="B77" s="1">
        <v>5</v>
      </c>
      <c r="C77" s="1" t="s">
        <v>1029</v>
      </c>
      <c r="D77" s="1">
        <v>16</v>
      </c>
      <c r="F77" s="1" t="s">
        <v>1007</v>
      </c>
      <c r="G77" s="1" t="s">
        <v>57</v>
      </c>
      <c r="H77" s="1" t="s">
        <v>1153</v>
      </c>
      <c r="I77" s="1" t="s">
        <v>1154</v>
      </c>
      <c r="J77" s="1" t="s">
        <v>1155</v>
      </c>
      <c r="K77" s="1" t="s">
        <v>1156</v>
      </c>
      <c r="M77" s="1" t="s">
        <v>1157</v>
      </c>
      <c r="O77" s="1" t="s">
        <v>1158</v>
      </c>
      <c r="T77" s="1" t="s">
        <v>1159</v>
      </c>
      <c r="U77" s="1" t="s">
        <v>1160</v>
      </c>
      <c r="V77" s="1" t="s">
        <v>1161</v>
      </c>
      <c r="X77" s="1" t="s">
        <v>1162</v>
      </c>
      <c r="Y77" s="1" t="s">
        <v>1163</v>
      </c>
      <c r="AB77" s="1" t="s">
        <v>1164</v>
      </c>
      <c r="AE77" s="1" t="s">
        <v>1165</v>
      </c>
      <c r="AT77" s="1" t="s">
        <v>57</v>
      </c>
      <c r="AU77" s="1" t="s">
        <v>1006</v>
      </c>
      <c r="CA77" s="1">
        <v>3</v>
      </c>
      <c r="CB77" s="1">
        <v>4</v>
      </c>
      <c r="CC77" s="1" t="s">
        <v>718</v>
      </c>
      <c r="CD77" s="1">
        <v>4</v>
      </c>
      <c r="CE77" s="1">
        <v>5</v>
      </c>
      <c r="CF77" s="1" t="s">
        <v>1166</v>
      </c>
      <c r="CG77" s="1">
        <v>0</v>
      </c>
      <c r="CH77" s="1">
        <v>0</v>
      </c>
      <c r="CJ77" s="1">
        <v>0</v>
      </c>
      <c r="CK77" s="1">
        <v>0</v>
      </c>
      <c r="CM77" s="1">
        <v>0</v>
      </c>
      <c r="CN77" s="1">
        <v>0</v>
      </c>
      <c r="CP77" s="1">
        <v>0</v>
      </c>
      <c r="CQ77" s="1">
        <v>0</v>
      </c>
    </row>
    <row r="78" spans="1:95" x14ac:dyDescent="0.3">
      <c r="A78" s="1">
        <v>6</v>
      </c>
      <c r="B78" s="1">
        <v>5</v>
      </c>
      <c r="C78" s="1" t="s">
        <v>1045</v>
      </c>
      <c r="D78" s="1">
        <v>13</v>
      </c>
      <c r="F78" s="1" t="s">
        <v>1007</v>
      </c>
      <c r="G78" s="1" t="s">
        <v>57</v>
      </c>
      <c r="H78" s="1" t="s">
        <v>1167</v>
      </c>
      <c r="K78" s="1" t="s">
        <v>1168</v>
      </c>
      <c r="M78" s="1" t="s">
        <v>1169</v>
      </c>
      <c r="T78" s="1" t="s">
        <v>1170</v>
      </c>
      <c r="U78" s="1" t="s">
        <v>1171</v>
      </c>
      <c r="V78" s="1" t="s">
        <v>1172</v>
      </c>
      <c r="X78" s="1" t="s">
        <v>1173</v>
      </c>
      <c r="Y78" s="1" t="s">
        <v>1174</v>
      </c>
      <c r="AB78" s="1" t="s">
        <v>1175</v>
      </c>
      <c r="AE78" s="1" t="s">
        <v>1176</v>
      </c>
      <c r="AT78" s="1" t="s">
        <v>57</v>
      </c>
      <c r="AU78" s="1" t="s">
        <v>1019</v>
      </c>
      <c r="CA78" s="1">
        <v>5</v>
      </c>
      <c r="CB78" s="1">
        <v>4</v>
      </c>
      <c r="CC78" s="1" t="s">
        <v>702</v>
      </c>
      <c r="CD78" s="1">
        <v>3</v>
      </c>
      <c r="CE78" s="1">
        <v>6</v>
      </c>
      <c r="CF78" s="1" t="s">
        <v>1177</v>
      </c>
      <c r="CG78" s="1">
        <v>0</v>
      </c>
      <c r="CH78" s="1">
        <v>0</v>
      </c>
      <c r="CJ78" s="1">
        <v>0</v>
      </c>
      <c r="CK78" s="1">
        <v>0</v>
      </c>
      <c r="CM78" s="1">
        <v>0</v>
      </c>
      <c r="CN78" s="1">
        <v>0</v>
      </c>
      <c r="CP78" s="1">
        <v>0</v>
      </c>
      <c r="CQ78" s="1">
        <v>0</v>
      </c>
    </row>
    <row r="79" spans="1:95" x14ac:dyDescent="0.3">
      <c r="A79" s="1">
        <v>4</v>
      </c>
      <c r="B79" s="1">
        <v>6</v>
      </c>
      <c r="C79" s="1" t="s">
        <v>1060</v>
      </c>
      <c r="D79" s="1">
        <v>14</v>
      </c>
      <c r="F79" s="1" t="s">
        <v>1007</v>
      </c>
      <c r="G79" s="1" t="s">
        <v>57</v>
      </c>
      <c r="H79" s="1" t="s">
        <v>1178</v>
      </c>
      <c r="K79" s="1" t="s">
        <v>1179</v>
      </c>
      <c r="L79" s="1" t="s">
        <v>1180</v>
      </c>
      <c r="M79" s="1" t="s">
        <v>1181</v>
      </c>
      <c r="T79" s="1" t="s">
        <v>1182</v>
      </c>
      <c r="U79" s="1" t="s">
        <v>1183</v>
      </c>
      <c r="V79" s="1" t="s">
        <v>1184</v>
      </c>
      <c r="X79" s="1" t="s">
        <v>1185</v>
      </c>
      <c r="Y79" s="1" t="s">
        <v>1186</v>
      </c>
      <c r="AB79" s="1" t="s">
        <v>1187</v>
      </c>
      <c r="AD79" s="1" t="s">
        <v>1188</v>
      </c>
      <c r="AT79" s="1" t="s">
        <v>57</v>
      </c>
      <c r="AU79" s="1" t="s">
        <v>1031</v>
      </c>
      <c r="CA79" s="1">
        <v>3</v>
      </c>
      <c r="CB79" s="1">
        <v>5</v>
      </c>
      <c r="CC79" s="1" t="s">
        <v>1152</v>
      </c>
      <c r="CD79" s="1">
        <v>4</v>
      </c>
      <c r="CE79" s="1">
        <v>6</v>
      </c>
      <c r="CF79" s="1" t="s">
        <v>1189</v>
      </c>
      <c r="CG79" s="1">
        <v>0</v>
      </c>
      <c r="CH79" s="1">
        <v>0</v>
      </c>
      <c r="CJ79" s="1">
        <v>0</v>
      </c>
      <c r="CK79" s="1">
        <v>0</v>
      </c>
      <c r="CM79" s="1">
        <v>0</v>
      </c>
      <c r="CN79" s="1">
        <v>0</v>
      </c>
      <c r="CP79" s="1">
        <v>0</v>
      </c>
      <c r="CQ79" s="1">
        <v>0</v>
      </c>
    </row>
    <row r="80" spans="1:95" x14ac:dyDescent="0.3">
      <c r="A80" s="1">
        <v>5</v>
      </c>
      <c r="B80" s="1">
        <v>6</v>
      </c>
      <c r="C80" s="1" t="s">
        <v>1074</v>
      </c>
      <c r="D80" s="1">
        <v>19</v>
      </c>
      <c r="F80" s="1" t="s">
        <v>1007</v>
      </c>
      <c r="G80" s="1" t="s">
        <v>57</v>
      </c>
      <c r="H80" s="1" t="s">
        <v>1190</v>
      </c>
      <c r="I80" s="1" t="s">
        <v>1191</v>
      </c>
      <c r="J80" s="1" t="s">
        <v>1192</v>
      </c>
      <c r="K80" s="1" t="s">
        <v>1193</v>
      </c>
      <c r="L80" s="1" t="s">
        <v>1194</v>
      </c>
      <c r="M80" s="1" t="s">
        <v>1195</v>
      </c>
      <c r="O80" s="1" t="s">
        <v>1196</v>
      </c>
      <c r="T80" s="1" t="s">
        <v>1197</v>
      </c>
      <c r="U80" s="1" t="s">
        <v>1198</v>
      </c>
      <c r="V80" s="1" t="s">
        <v>1199</v>
      </c>
      <c r="X80" s="1" t="s">
        <v>1200</v>
      </c>
      <c r="Y80" s="1" t="s">
        <v>1201</v>
      </c>
      <c r="AB80" s="1" t="s">
        <v>1202</v>
      </c>
      <c r="AC80" s="1" t="s">
        <v>1203</v>
      </c>
      <c r="AD80" s="1" t="s">
        <v>1204</v>
      </c>
      <c r="AE80" s="1" t="s">
        <v>1205</v>
      </c>
      <c r="AT80" s="1" t="s">
        <v>57</v>
      </c>
      <c r="AU80" s="1" t="s">
        <v>1047</v>
      </c>
      <c r="CA80" s="1">
        <v>4</v>
      </c>
      <c r="CB80" s="1">
        <v>5</v>
      </c>
      <c r="CC80" s="1" t="s">
        <v>1166</v>
      </c>
      <c r="CD80" s="1">
        <v>3</v>
      </c>
      <c r="CE80" s="1">
        <v>7</v>
      </c>
      <c r="CF80" s="1" t="s">
        <v>1206</v>
      </c>
      <c r="CG80" s="1">
        <v>0</v>
      </c>
      <c r="CH80" s="1">
        <v>0</v>
      </c>
      <c r="CJ80" s="1">
        <v>0</v>
      </c>
      <c r="CK80" s="1">
        <v>0</v>
      </c>
      <c r="CM80" s="1">
        <v>0</v>
      </c>
      <c r="CN80" s="1">
        <v>0</v>
      </c>
      <c r="CP80" s="1">
        <v>0</v>
      </c>
      <c r="CQ80" s="1">
        <v>0</v>
      </c>
    </row>
    <row r="81" spans="1:96" x14ac:dyDescent="0.3">
      <c r="A81" s="1">
        <v>6</v>
      </c>
      <c r="B81" s="1">
        <v>6</v>
      </c>
      <c r="C81" s="1" t="s">
        <v>1091</v>
      </c>
      <c r="D81" s="1">
        <v>15</v>
      </c>
      <c r="F81" s="1" t="s">
        <v>1007</v>
      </c>
      <c r="G81" s="1" t="s">
        <v>57</v>
      </c>
      <c r="H81" s="1" t="s">
        <v>1207</v>
      </c>
      <c r="J81" s="1" t="s">
        <v>1208</v>
      </c>
      <c r="M81" s="1" t="s">
        <v>1209</v>
      </c>
      <c r="O81" s="1" t="s">
        <v>1210</v>
      </c>
      <c r="T81" s="1" t="s">
        <v>1211</v>
      </c>
      <c r="U81" s="1" t="s">
        <v>1212</v>
      </c>
      <c r="X81" s="1" t="s">
        <v>1213</v>
      </c>
      <c r="Y81" s="1" t="s">
        <v>1214</v>
      </c>
      <c r="AB81" s="1" t="s">
        <v>1215</v>
      </c>
      <c r="AC81" s="1" t="s">
        <v>1216</v>
      </c>
      <c r="AD81" s="1" t="s">
        <v>1217</v>
      </c>
      <c r="AE81" s="1" t="s">
        <v>1218</v>
      </c>
      <c r="AT81" s="1" t="s">
        <v>57</v>
      </c>
      <c r="AU81" s="1" t="s">
        <v>1062</v>
      </c>
      <c r="CA81" s="1">
        <v>5</v>
      </c>
      <c r="CB81" s="1">
        <v>5</v>
      </c>
      <c r="CC81" s="1" t="s">
        <v>1219</v>
      </c>
      <c r="CD81" s="1">
        <v>4</v>
      </c>
      <c r="CE81" s="1">
        <v>7</v>
      </c>
      <c r="CF81" s="1" t="s">
        <v>1220</v>
      </c>
      <c r="CG81" s="1">
        <v>0</v>
      </c>
      <c r="CH81" s="1">
        <v>0</v>
      </c>
      <c r="CJ81" s="1">
        <v>0</v>
      </c>
      <c r="CK81" s="1">
        <v>0</v>
      </c>
      <c r="CM81" s="1">
        <v>0</v>
      </c>
      <c r="CN81" s="1">
        <v>0</v>
      </c>
      <c r="CP81" s="1">
        <v>0</v>
      </c>
      <c r="CQ81" s="1">
        <v>0</v>
      </c>
    </row>
    <row r="82" spans="1:96" x14ac:dyDescent="0.3">
      <c r="A82" s="1">
        <v>4</v>
      </c>
      <c r="B82" s="1">
        <v>7</v>
      </c>
      <c r="C82" s="1" t="s">
        <v>1107</v>
      </c>
      <c r="D82" s="1">
        <v>16</v>
      </c>
      <c r="F82" s="1" t="s">
        <v>1007</v>
      </c>
      <c r="G82" s="1" t="s">
        <v>57</v>
      </c>
      <c r="H82" s="1" t="s">
        <v>1221</v>
      </c>
      <c r="I82" s="1" t="s">
        <v>1222</v>
      </c>
      <c r="J82" s="1" t="s">
        <v>1223</v>
      </c>
      <c r="M82" s="1" t="s">
        <v>1224</v>
      </c>
      <c r="O82" s="1" t="s">
        <v>1225</v>
      </c>
      <c r="T82" s="1" t="s">
        <v>1226</v>
      </c>
      <c r="U82" s="1" t="s">
        <v>1227</v>
      </c>
      <c r="V82" s="1" t="s">
        <v>1228</v>
      </c>
      <c r="X82" s="1" t="s">
        <v>1229</v>
      </c>
      <c r="Y82" s="1" t="s">
        <v>1230</v>
      </c>
      <c r="AB82" s="1" t="s">
        <v>1231</v>
      </c>
      <c r="AC82" s="1" t="s">
        <v>1232</v>
      </c>
      <c r="AD82" s="1" t="s">
        <v>1233</v>
      </c>
      <c r="AT82" s="1" t="s">
        <v>57</v>
      </c>
      <c r="AU82" s="1" t="s">
        <v>1076</v>
      </c>
      <c r="CA82" s="1">
        <v>3</v>
      </c>
      <c r="CB82" s="1">
        <v>6</v>
      </c>
      <c r="CC82" s="1" t="s">
        <v>1177</v>
      </c>
      <c r="CD82" s="1">
        <v>3</v>
      </c>
      <c r="CE82" s="1">
        <v>8</v>
      </c>
      <c r="CF82" s="1" t="s">
        <v>1234</v>
      </c>
      <c r="CG82" s="1">
        <v>0</v>
      </c>
      <c r="CH82" s="1">
        <v>0</v>
      </c>
      <c r="CJ82" s="1">
        <v>0</v>
      </c>
      <c r="CK82" s="1">
        <v>0</v>
      </c>
      <c r="CM82" s="1">
        <v>0</v>
      </c>
      <c r="CN82" s="1">
        <v>0</v>
      </c>
      <c r="CP82" s="1">
        <v>0</v>
      </c>
      <c r="CQ82" s="1">
        <v>0</v>
      </c>
    </row>
    <row r="83" spans="1:96" x14ac:dyDescent="0.3">
      <c r="A83" s="1">
        <v>5</v>
      </c>
      <c r="B83" s="1">
        <v>7</v>
      </c>
      <c r="C83" s="1" t="s">
        <v>1123</v>
      </c>
      <c r="D83" s="1">
        <v>12</v>
      </c>
      <c r="F83" s="1" t="s">
        <v>1235</v>
      </c>
      <c r="G83" s="1" t="s">
        <v>231</v>
      </c>
      <c r="H83" s="1" t="s">
        <v>1236</v>
      </c>
      <c r="I83" s="1" t="s">
        <v>1237</v>
      </c>
      <c r="J83" s="1" t="s">
        <v>1238</v>
      </c>
      <c r="O83" s="1" t="s">
        <v>1239</v>
      </c>
      <c r="T83" s="1" t="s">
        <v>1240</v>
      </c>
      <c r="U83" s="1" t="s">
        <v>1241</v>
      </c>
      <c r="V83" s="1" t="s">
        <v>1242</v>
      </c>
      <c r="X83" s="1" t="s">
        <v>1243</v>
      </c>
      <c r="Y83" s="1" t="s">
        <v>1244</v>
      </c>
      <c r="AE83" s="1" t="s">
        <v>1245</v>
      </c>
      <c r="AT83" s="1" t="s">
        <v>57</v>
      </c>
      <c r="AU83" s="1" t="s">
        <v>1093</v>
      </c>
      <c r="CA83" s="1">
        <v>4</v>
      </c>
      <c r="CB83" s="1">
        <v>6</v>
      </c>
      <c r="CC83" s="1" t="s">
        <v>1189</v>
      </c>
      <c r="CD83" s="1">
        <v>4</v>
      </c>
      <c r="CE83" s="1">
        <v>8</v>
      </c>
      <c r="CF83" s="1" t="s">
        <v>1246</v>
      </c>
      <c r="CG83" s="1">
        <v>0</v>
      </c>
      <c r="CH83" s="1">
        <v>0</v>
      </c>
      <c r="CJ83" s="1">
        <v>0</v>
      </c>
      <c r="CK83" s="1">
        <v>0</v>
      </c>
      <c r="CM83" s="1">
        <v>0</v>
      </c>
      <c r="CN83" s="1">
        <v>0</v>
      </c>
      <c r="CP83" s="1">
        <v>0</v>
      </c>
      <c r="CQ83" s="1">
        <v>0</v>
      </c>
    </row>
    <row r="84" spans="1:96" x14ac:dyDescent="0.3">
      <c r="A84" s="1">
        <v>6</v>
      </c>
      <c r="B84" s="1">
        <v>7</v>
      </c>
      <c r="C84" s="1" t="s">
        <v>1137</v>
      </c>
      <c r="D84" s="1">
        <v>11</v>
      </c>
      <c r="F84" s="1" t="s">
        <v>1235</v>
      </c>
      <c r="G84" s="1" t="s">
        <v>57</v>
      </c>
      <c r="H84" s="1" t="s">
        <v>1247</v>
      </c>
      <c r="I84" s="1" t="s">
        <v>1248</v>
      </c>
      <c r="J84" s="1" t="s">
        <v>1249</v>
      </c>
      <c r="O84" s="1" t="s">
        <v>1250</v>
      </c>
      <c r="T84" s="1" t="s">
        <v>1251</v>
      </c>
      <c r="U84" s="1" t="s">
        <v>1252</v>
      </c>
      <c r="X84" s="1" t="s">
        <v>1253</v>
      </c>
      <c r="Y84" s="1" t="s">
        <v>1254</v>
      </c>
      <c r="AE84" s="1" t="s">
        <v>1255</v>
      </c>
      <c r="AT84" s="1" t="s">
        <v>57</v>
      </c>
      <c r="AU84" s="1" t="s">
        <v>1109</v>
      </c>
      <c r="CA84" s="1">
        <v>5</v>
      </c>
      <c r="CB84" s="1">
        <v>6</v>
      </c>
      <c r="CC84" s="1" t="s">
        <v>1256</v>
      </c>
      <c r="CD84" s="1">
        <v>3</v>
      </c>
      <c r="CE84" s="1">
        <v>9</v>
      </c>
      <c r="CF84" s="1" t="s">
        <v>1257</v>
      </c>
      <c r="CG84" s="1">
        <v>0</v>
      </c>
      <c r="CH84" s="1">
        <v>0</v>
      </c>
      <c r="CJ84" s="1">
        <v>0</v>
      </c>
      <c r="CK84" s="1">
        <v>0</v>
      </c>
      <c r="CM84" s="1">
        <v>0</v>
      </c>
      <c r="CN84" s="1">
        <v>0</v>
      </c>
      <c r="CP84" s="1">
        <v>0</v>
      </c>
      <c r="CQ84" s="1">
        <v>0</v>
      </c>
    </row>
    <row r="85" spans="1:96" x14ac:dyDescent="0.3">
      <c r="A85" s="1">
        <v>2</v>
      </c>
      <c r="B85" s="1">
        <v>8</v>
      </c>
      <c r="C85" s="1" t="s">
        <v>1258</v>
      </c>
      <c r="D85" s="1">
        <v>15</v>
      </c>
      <c r="F85" s="1" t="s">
        <v>1235</v>
      </c>
      <c r="G85" s="1" t="s">
        <v>57</v>
      </c>
      <c r="H85" s="1" t="s">
        <v>1259</v>
      </c>
      <c r="I85" s="1" t="s">
        <v>1260</v>
      </c>
      <c r="J85" s="1" t="s">
        <v>1261</v>
      </c>
      <c r="K85" s="1" t="s">
        <v>1262</v>
      </c>
      <c r="L85" s="1" t="s">
        <v>1263</v>
      </c>
      <c r="O85" s="1" t="s">
        <v>1264</v>
      </c>
      <c r="T85" s="1" t="s">
        <v>1265</v>
      </c>
      <c r="U85" s="1" t="s">
        <v>1266</v>
      </c>
      <c r="X85" s="1" t="s">
        <v>1267</v>
      </c>
      <c r="Y85" s="1" t="s">
        <v>1268</v>
      </c>
      <c r="AB85" s="1" t="s">
        <v>1269</v>
      </c>
      <c r="AL85" s="1" t="s">
        <v>1270</v>
      </c>
      <c r="AT85" s="1" t="s">
        <v>57</v>
      </c>
      <c r="AU85" s="1" t="s">
        <v>1271</v>
      </c>
      <c r="CA85" s="1">
        <v>1</v>
      </c>
      <c r="CB85" s="1">
        <v>7</v>
      </c>
      <c r="CC85" s="1" t="s">
        <v>1061</v>
      </c>
      <c r="CD85" s="1">
        <v>1</v>
      </c>
      <c r="CE85" s="1">
        <v>10</v>
      </c>
      <c r="CF85" s="1" t="s">
        <v>1272</v>
      </c>
      <c r="CG85" s="1">
        <v>2</v>
      </c>
      <c r="CH85" s="1">
        <v>3</v>
      </c>
      <c r="CI85" s="1" t="s">
        <v>687</v>
      </c>
      <c r="CJ85" s="1">
        <v>1</v>
      </c>
      <c r="CK85" s="1">
        <v>3</v>
      </c>
      <c r="CL85" s="1" t="s">
        <v>748</v>
      </c>
      <c r="CM85" s="1">
        <v>1</v>
      </c>
      <c r="CN85" s="1">
        <v>5</v>
      </c>
      <c r="CO85" s="1" t="s">
        <v>993</v>
      </c>
      <c r="CP85" s="1">
        <v>2</v>
      </c>
      <c r="CQ85" s="1">
        <v>1</v>
      </c>
      <c r="CR85" s="1" t="s">
        <v>652</v>
      </c>
    </row>
    <row r="86" spans="1:96" x14ac:dyDescent="0.3">
      <c r="A86" s="1">
        <v>3</v>
      </c>
      <c r="B86" s="1">
        <v>8</v>
      </c>
      <c r="C86" s="1" t="s">
        <v>1273</v>
      </c>
      <c r="D86" s="1">
        <v>15</v>
      </c>
      <c r="F86" s="1" t="s">
        <v>1235</v>
      </c>
      <c r="G86" s="1" t="s">
        <v>57</v>
      </c>
      <c r="H86" s="1" t="s">
        <v>1274</v>
      </c>
      <c r="I86" s="1" t="s">
        <v>1275</v>
      </c>
      <c r="K86" s="1" t="s">
        <v>1276</v>
      </c>
      <c r="L86" s="1" t="s">
        <v>1277</v>
      </c>
      <c r="M86" s="1" t="s">
        <v>1278</v>
      </c>
      <c r="O86" s="1" t="s">
        <v>1279</v>
      </c>
      <c r="T86" s="1" t="s">
        <v>1280</v>
      </c>
      <c r="U86" s="1" t="s">
        <v>1281</v>
      </c>
      <c r="X86" s="1" t="s">
        <v>1282</v>
      </c>
      <c r="Y86" s="1" t="s">
        <v>1283</v>
      </c>
      <c r="AB86" s="1" t="s">
        <v>1284</v>
      </c>
      <c r="AL86" s="1" t="s">
        <v>1285</v>
      </c>
      <c r="AT86" s="1" t="s">
        <v>57</v>
      </c>
      <c r="AU86" s="1" t="s">
        <v>1286</v>
      </c>
      <c r="CA86" s="1">
        <v>2</v>
      </c>
      <c r="CB86" s="1">
        <v>7</v>
      </c>
      <c r="CC86" s="1" t="s">
        <v>1075</v>
      </c>
      <c r="CD86" s="1">
        <v>2</v>
      </c>
      <c r="CE86" s="1">
        <v>10</v>
      </c>
      <c r="CF86" s="1" t="s">
        <v>1287</v>
      </c>
      <c r="CG86" s="1">
        <v>2</v>
      </c>
      <c r="CH86" s="1">
        <v>4</v>
      </c>
      <c r="CI86" s="1" t="s">
        <v>703</v>
      </c>
      <c r="CJ86" s="1">
        <v>2</v>
      </c>
      <c r="CK86" s="1">
        <v>3</v>
      </c>
      <c r="CL86" s="1" t="s">
        <v>687</v>
      </c>
      <c r="CM86" s="1">
        <v>2</v>
      </c>
      <c r="CN86" s="1">
        <v>5</v>
      </c>
      <c r="CO86" s="1" t="s">
        <v>1018</v>
      </c>
      <c r="CP86" s="1">
        <v>1</v>
      </c>
      <c r="CQ86" s="1">
        <v>2</v>
      </c>
      <c r="CR86" s="1" t="s">
        <v>671</v>
      </c>
    </row>
    <row r="87" spans="1:96" x14ac:dyDescent="0.3">
      <c r="A87" s="1">
        <v>2</v>
      </c>
      <c r="B87" s="1">
        <v>9</v>
      </c>
      <c r="C87" s="1" t="s">
        <v>1288</v>
      </c>
      <c r="D87" s="1">
        <v>14</v>
      </c>
      <c r="F87" s="1" t="s">
        <v>1235</v>
      </c>
      <c r="G87" s="1" t="s">
        <v>57</v>
      </c>
      <c r="H87" s="1" t="s">
        <v>1289</v>
      </c>
      <c r="K87" s="1" t="s">
        <v>1290</v>
      </c>
      <c r="M87" s="1" t="s">
        <v>1291</v>
      </c>
      <c r="O87" s="1" t="s">
        <v>1292</v>
      </c>
      <c r="T87" s="1" t="s">
        <v>1293</v>
      </c>
      <c r="U87" s="1" t="s">
        <v>1294</v>
      </c>
      <c r="X87" s="1" t="s">
        <v>1295</v>
      </c>
      <c r="Y87" s="1" t="s">
        <v>1296</v>
      </c>
      <c r="AB87" s="1" t="s">
        <v>1297</v>
      </c>
      <c r="AD87" s="1" t="s">
        <v>1298</v>
      </c>
      <c r="AL87" s="1" t="s">
        <v>1299</v>
      </c>
      <c r="AT87" s="1" t="s">
        <v>57</v>
      </c>
      <c r="AU87" s="1" t="s">
        <v>1300</v>
      </c>
      <c r="CA87" s="1">
        <v>1</v>
      </c>
      <c r="CB87" s="1">
        <v>8</v>
      </c>
      <c r="CC87" s="1" t="s">
        <v>1092</v>
      </c>
      <c r="CD87" s="1">
        <v>1</v>
      </c>
      <c r="CE87" s="1">
        <v>11</v>
      </c>
      <c r="CF87" s="1" t="s">
        <v>1301</v>
      </c>
      <c r="CG87" s="1">
        <v>1</v>
      </c>
      <c r="CH87" s="1">
        <v>4</v>
      </c>
      <c r="CI87" s="1" t="s">
        <v>759</v>
      </c>
      <c r="CJ87" s="1">
        <v>1</v>
      </c>
      <c r="CK87" s="1">
        <v>4</v>
      </c>
      <c r="CL87" s="1" t="s">
        <v>759</v>
      </c>
      <c r="CM87" s="1">
        <v>1</v>
      </c>
      <c r="CN87" s="1">
        <v>6</v>
      </c>
      <c r="CO87" s="1" t="s">
        <v>1030</v>
      </c>
      <c r="CP87" s="1">
        <v>2</v>
      </c>
      <c r="CQ87" s="1">
        <v>2</v>
      </c>
      <c r="CR87" s="1" t="s">
        <v>733</v>
      </c>
    </row>
    <row r="88" spans="1:96" x14ac:dyDescent="0.3">
      <c r="A88" s="1">
        <v>3</v>
      </c>
      <c r="B88" s="1">
        <v>9</v>
      </c>
      <c r="C88" s="1" t="s">
        <v>1302</v>
      </c>
      <c r="D88" s="1">
        <v>17</v>
      </c>
      <c r="F88" s="1" t="s">
        <v>1235</v>
      </c>
      <c r="G88" s="1" t="s">
        <v>57</v>
      </c>
      <c r="H88" s="1" t="s">
        <v>1303</v>
      </c>
      <c r="I88" s="1" t="s">
        <v>1304</v>
      </c>
      <c r="J88" s="1" t="s">
        <v>1305</v>
      </c>
      <c r="K88" s="1" t="s">
        <v>1306</v>
      </c>
      <c r="M88" s="1" t="s">
        <v>1307</v>
      </c>
      <c r="O88" s="1" t="s">
        <v>1308</v>
      </c>
      <c r="T88" s="1" t="s">
        <v>1309</v>
      </c>
      <c r="U88" s="1" t="s">
        <v>1310</v>
      </c>
      <c r="X88" s="1" t="s">
        <v>1311</v>
      </c>
      <c r="Y88" s="1" t="s">
        <v>1312</v>
      </c>
      <c r="AB88" s="1" t="s">
        <v>1313</v>
      </c>
      <c r="AC88" s="1" t="s">
        <v>1314</v>
      </c>
      <c r="AD88" s="1" t="s">
        <v>1315</v>
      </c>
      <c r="AL88" s="1" t="s">
        <v>1316</v>
      </c>
      <c r="AT88" s="1" t="s">
        <v>57</v>
      </c>
      <c r="AU88" s="1" t="s">
        <v>1317</v>
      </c>
      <c r="CA88" s="1">
        <v>2</v>
      </c>
      <c r="CB88" s="1">
        <v>8</v>
      </c>
      <c r="CC88" s="1" t="s">
        <v>1108</v>
      </c>
      <c r="CD88" s="1">
        <v>2</v>
      </c>
      <c r="CE88" s="1">
        <v>11</v>
      </c>
      <c r="CF88" s="1" t="s">
        <v>1318</v>
      </c>
      <c r="CG88" s="1">
        <v>1</v>
      </c>
      <c r="CH88" s="1">
        <v>6</v>
      </c>
      <c r="CI88" s="1" t="s">
        <v>1030</v>
      </c>
      <c r="CJ88" s="1">
        <v>2</v>
      </c>
      <c r="CK88" s="1">
        <v>4</v>
      </c>
      <c r="CL88" s="1" t="s">
        <v>703</v>
      </c>
      <c r="CM88" s="1">
        <v>2</v>
      </c>
      <c r="CN88" s="1">
        <v>6</v>
      </c>
      <c r="CO88" s="1" t="s">
        <v>1046</v>
      </c>
      <c r="CP88" s="1">
        <v>2</v>
      </c>
      <c r="CQ88" s="1">
        <v>3</v>
      </c>
      <c r="CR88" s="1" t="s">
        <v>687</v>
      </c>
    </row>
    <row r="89" spans="1:96" x14ac:dyDescent="0.3">
      <c r="A89" s="1">
        <v>4</v>
      </c>
      <c r="B89" s="1">
        <v>9</v>
      </c>
      <c r="C89" s="1" t="s">
        <v>1319</v>
      </c>
      <c r="D89" s="1">
        <v>15</v>
      </c>
      <c r="F89" s="1" t="s">
        <v>1235</v>
      </c>
      <c r="G89" s="1" t="s">
        <v>57</v>
      </c>
      <c r="H89" s="1" t="s">
        <v>1320</v>
      </c>
      <c r="I89" s="1" t="s">
        <v>1321</v>
      </c>
      <c r="J89" s="1" t="s">
        <v>1322</v>
      </c>
      <c r="L89" s="1" t="s">
        <v>1323</v>
      </c>
      <c r="M89" s="1" t="s">
        <v>1324</v>
      </c>
      <c r="T89" s="1" t="s">
        <v>1325</v>
      </c>
      <c r="U89" s="1" t="s">
        <v>1326</v>
      </c>
      <c r="X89" s="1" t="s">
        <v>1327</v>
      </c>
      <c r="Y89" s="1" t="s">
        <v>1328</v>
      </c>
      <c r="AB89" s="1" t="s">
        <v>1329</v>
      </c>
      <c r="AC89" s="1" t="s">
        <v>1330</v>
      </c>
      <c r="AD89" s="1" t="s">
        <v>1331</v>
      </c>
      <c r="AL89" s="1" t="s">
        <v>1332</v>
      </c>
      <c r="AT89" s="1" t="s">
        <v>57</v>
      </c>
      <c r="AU89" s="1" t="s">
        <v>1333</v>
      </c>
      <c r="CA89" s="1">
        <v>3</v>
      </c>
      <c r="CB89" s="1">
        <v>8</v>
      </c>
      <c r="CC89" s="1" t="s">
        <v>1234</v>
      </c>
      <c r="CD89" s="1">
        <v>1</v>
      </c>
      <c r="CE89" s="1">
        <v>12</v>
      </c>
      <c r="CF89" s="1" t="s">
        <v>1334</v>
      </c>
      <c r="CG89" s="1">
        <v>2</v>
      </c>
      <c r="CH89" s="1">
        <v>6</v>
      </c>
      <c r="CI89" s="1" t="s">
        <v>1046</v>
      </c>
      <c r="CJ89" s="1">
        <v>1</v>
      </c>
      <c r="CK89" s="1">
        <v>5</v>
      </c>
      <c r="CL89" s="1" t="s">
        <v>993</v>
      </c>
      <c r="CM89" s="1">
        <v>1</v>
      </c>
      <c r="CN89" s="1">
        <v>7</v>
      </c>
      <c r="CO89" s="1" t="s">
        <v>1061</v>
      </c>
      <c r="CP89" s="1">
        <v>2</v>
      </c>
      <c r="CQ89" s="1">
        <v>4</v>
      </c>
      <c r="CR89" s="1" t="s">
        <v>703</v>
      </c>
    </row>
    <row r="90" spans="1:96" x14ac:dyDescent="0.3">
      <c r="A90" s="1">
        <v>2</v>
      </c>
      <c r="B90" s="1">
        <v>10</v>
      </c>
      <c r="C90" s="1" t="s">
        <v>1335</v>
      </c>
      <c r="D90" s="1">
        <v>14</v>
      </c>
      <c r="F90" s="1" t="s">
        <v>1235</v>
      </c>
      <c r="G90" s="1" t="s">
        <v>57</v>
      </c>
      <c r="H90" s="1" t="s">
        <v>1336</v>
      </c>
      <c r="I90" s="1" t="s">
        <v>1337</v>
      </c>
      <c r="J90" s="1" t="s">
        <v>1338</v>
      </c>
      <c r="L90" s="1" t="s">
        <v>1339</v>
      </c>
      <c r="M90" s="1" t="s">
        <v>1340</v>
      </c>
      <c r="T90" s="1" t="s">
        <v>1341</v>
      </c>
      <c r="U90" s="1" t="s">
        <v>1342</v>
      </c>
      <c r="X90" s="1" t="s">
        <v>1343</v>
      </c>
      <c r="Y90" s="1" t="s">
        <v>1344</v>
      </c>
      <c r="AB90" s="1" t="s">
        <v>1345</v>
      </c>
      <c r="AC90" s="1" t="s">
        <v>1346</v>
      </c>
      <c r="AD90" s="1" t="s">
        <v>1347</v>
      </c>
      <c r="AT90" s="1" t="s">
        <v>57</v>
      </c>
      <c r="AU90" s="1" t="s">
        <v>1348</v>
      </c>
      <c r="CA90" s="1">
        <v>1</v>
      </c>
      <c r="CB90" s="1">
        <v>9</v>
      </c>
      <c r="CC90" s="1" t="s">
        <v>1124</v>
      </c>
      <c r="CD90" s="1">
        <v>1</v>
      </c>
      <c r="CE90" s="1">
        <v>13</v>
      </c>
      <c r="CF90" s="1" t="s">
        <v>1349</v>
      </c>
      <c r="CG90" s="1">
        <v>2</v>
      </c>
      <c r="CH90" s="1">
        <v>7</v>
      </c>
      <c r="CI90" s="1" t="s">
        <v>1075</v>
      </c>
      <c r="CJ90" s="1">
        <v>2</v>
      </c>
      <c r="CK90" s="1">
        <v>5</v>
      </c>
      <c r="CL90" s="1" t="s">
        <v>1018</v>
      </c>
      <c r="CM90" s="1">
        <v>2</v>
      </c>
      <c r="CN90" s="1">
        <v>7</v>
      </c>
      <c r="CO90" s="1" t="s">
        <v>1075</v>
      </c>
      <c r="CP90" s="1">
        <v>0</v>
      </c>
      <c r="CQ90" s="1">
        <v>0</v>
      </c>
    </row>
    <row r="91" spans="1:96" x14ac:dyDescent="0.3">
      <c r="A91" s="1">
        <v>3</v>
      </c>
      <c r="B91" s="1">
        <v>10</v>
      </c>
      <c r="C91" s="1" t="s">
        <v>1350</v>
      </c>
      <c r="D91" s="1">
        <v>12</v>
      </c>
      <c r="F91" s="1" t="s">
        <v>1235</v>
      </c>
      <c r="G91" s="1" t="s">
        <v>57</v>
      </c>
      <c r="H91" s="1" t="s">
        <v>1351</v>
      </c>
      <c r="I91" s="1" t="s">
        <v>1352</v>
      </c>
      <c r="J91" s="1" t="s">
        <v>1353</v>
      </c>
      <c r="L91" s="1" t="s">
        <v>1354</v>
      </c>
      <c r="M91" s="1" t="s">
        <v>1355</v>
      </c>
      <c r="O91" s="1" t="s">
        <v>1356</v>
      </c>
      <c r="T91" s="1" t="s">
        <v>1357</v>
      </c>
      <c r="U91" s="1" t="s">
        <v>1358</v>
      </c>
      <c r="X91" s="1" t="s">
        <v>1359</v>
      </c>
      <c r="Y91" s="1" t="s">
        <v>1360</v>
      </c>
      <c r="AT91" s="1" t="s">
        <v>57</v>
      </c>
      <c r="AU91" s="1" t="s">
        <v>1361</v>
      </c>
      <c r="CA91" s="1">
        <v>2</v>
      </c>
      <c r="CB91" s="1">
        <v>9</v>
      </c>
      <c r="CC91" s="1" t="s">
        <v>1138</v>
      </c>
      <c r="CD91" s="1">
        <v>2</v>
      </c>
      <c r="CE91" s="1">
        <v>14</v>
      </c>
      <c r="CF91" s="1" t="s">
        <v>1362</v>
      </c>
      <c r="CG91" s="1">
        <v>2</v>
      </c>
      <c r="CH91" s="1">
        <v>8</v>
      </c>
      <c r="CI91" s="1" t="s">
        <v>1108</v>
      </c>
      <c r="CJ91" s="1">
        <v>1</v>
      </c>
      <c r="CK91" s="1">
        <v>6</v>
      </c>
      <c r="CL91" s="1" t="s">
        <v>1030</v>
      </c>
      <c r="CM91" s="1">
        <v>1</v>
      </c>
      <c r="CN91" s="1">
        <v>8</v>
      </c>
      <c r="CO91" s="1" t="s">
        <v>1092</v>
      </c>
      <c r="CP91" s="1">
        <v>0</v>
      </c>
      <c r="CQ91" s="1">
        <v>0</v>
      </c>
    </row>
    <row r="92" spans="1:96" x14ac:dyDescent="0.3">
      <c r="A92" s="1">
        <v>2</v>
      </c>
      <c r="B92" s="1">
        <v>11</v>
      </c>
      <c r="C92" s="1" t="s">
        <v>1363</v>
      </c>
      <c r="D92" s="1">
        <v>12</v>
      </c>
      <c r="F92" s="1" t="s">
        <v>1235</v>
      </c>
      <c r="G92" s="1" t="s">
        <v>231</v>
      </c>
      <c r="H92" s="1" t="s">
        <v>1364</v>
      </c>
      <c r="I92" s="1" t="s">
        <v>1365</v>
      </c>
      <c r="J92" s="1" t="s">
        <v>1366</v>
      </c>
      <c r="L92" s="1" t="s">
        <v>1367</v>
      </c>
      <c r="M92" s="1" t="s">
        <v>1368</v>
      </c>
      <c r="O92" s="1" t="s">
        <v>1369</v>
      </c>
      <c r="T92" s="1" t="s">
        <v>1370</v>
      </c>
      <c r="U92" s="1" t="s">
        <v>1371</v>
      </c>
      <c r="X92" s="1" t="s">
        <v>1372</v>
      </c>
      <c r="Y92" s="1" t="s">
        <v>1373</v>
      </c>
      <c r="AT92" s="1" t="s">
        <v>57</v>
      </c>
      <c r="AU92" s="1" t="s">
        <v>1374</v>
      </c>
      <c r="CA92" s="1">
        <v>1</v>
      </c>
      <c r="CB92" s="1">
        <v>10</v>
      </c>
      <c r="CC92" s="1" t="s">
        <v>1272</v>
      </c>
      <c r="CD92" s="1">
        <v>3</v>
      </c>
      <c r="CE92" s="1">
        <v>14</v>
      </c>
      <c r="CF92" s="1" t="s">
        <v>1375</v>
      </c>
      <c r="CG92" s="1">
        <v>1</v>
      </c>
      <c r="CH92" s="1">
        <v>8</v>
      </c>
      <c r="CI92" s="1" t="s">
        <v>1092</v>
      </c>
      <c r="CJ92" s="1">
        <v>2</v>
      </c>
      <c r="CK92" s="1">
        <v>6</v>
      </c>
      <c r="CL92" s="1" t="s">
        <v>1046</v>
      </c>
      <c r="CM92" s="1">
        <v>2</v>
      </c>
      <c r="CN92" s="1">
        <v>8</v>
      </c>
      <c r="CO92" s="1" t="s">
        <v>1108</v>
      </c>
      <c r="CP92" s="1">
        <v>0</v>
      </c>
      <c r="CQ92" s="1">
        <v>0</v>
      </c>
    </row>
    <row r="93" spans="1:96" x14ac:dyDescent="0.3">
      <c r="A93" s="1">
        <v>3</v>
      </c>
      <c r="B93" s="1">
        <v>11</v>
      </c>
      <c r="C93" s="1" t="s">
        <v>1376</v>
      </c>
      <c r="D93" s="1">
        <v>13</v>
      </c>
      <c r="F93" s="1" t="s">
        <v>1235</v>
      </c>
      <c r="G93" s="1" t="s">
        <v>57</v>
      </c>
      <c r="H93" s="1" t="s">
        <v>1377</v>
      </c>
      <c r="I93" s="1" t="s">
        <v>1378</v>
      </c>
      <c r="J93" s="1" t="s">
        <v>1379</v>
      </c>
      <c r="K93" s="1" t="s">
        <v>1380</v>
      </c>
      <c r="M93" s="1" t="s">
        <v>1381</v>
      </c>
      <c r="O93" s="1" t="s">
        <v>1382</v>
      </c>
      <c r="T93" s="1" t="s">
        <v>1383</v>
      </c>
      <c r="U93" s="1" t="s">
        <v>1384</v>
      </c>
      <c r="X93" s="1" t="s">
        <v>1385</v>
      </c>
      <c r="Y93" s="1" t="s">
        <v>1386</v>
      </c>
      <c r="AB93" s="1" t="s">
        <v>1387</v>
      </c>
      <c r="AT93" s="1" t="s">
        <v>57</v>
      </c>
      <c r="AU93" s="1" t="s">
        <v>1388</v>
      </c>
      <c r="CA93" s="1">
        <v>2</v>
      </c>
      <c r="CB93" s="1">
        <v>10</v>
      </c>
      <c r="CC93" s="1" t="s">
        <v>1287</v>
      </c>
      <c r="CD93" s="1">
        <v>4</v>
      </c>
      <c r="CE93" s="1">
        <v>14</v>
      </c>
      <c r="CF93" s="1" t="s">
        <v>1389</v>
      </c>
      <c r="CG93" s="1">
        <v>1</v>
      </c>
      <c r="CH93" s="1">
        <v>10</v>
      </c>
      <c r="CI93" s="1" t="s">
        <v>1272</v>
      </c>
      <c r="CJ93" s="1">
        <v>1</v>
      </c>
      <c r="CK93" s="1">
        <v>7</v>
      </c>
      <c r="CL93" s="1" t="s">
        <v>1061</v>
      </c>
      <c r="CM93" s="1">
        <v>1</v>
      </c>
      <c r="CN93" s="1">
        <v>9</v>
      </c>
      <c r="CO93" s="1" t="s">
        <v>1124</v>
      </c>
      <c r="CP93" s="1">
        <v>0</v>
      </c>
      <c r="CQ93" s="1">
        <v>0</v>
      </c>
    </row>
    <row r="94" spans="1:96" x14ac:dyDescent="0.3">
      <c r="A94" s="1">
        <v>2</v>
      </c>
      <c r="B94" s="1">
        <v>12</v>
      </c>
      <c r="C94" s="1" t="s">
        <v>1390</v>
      </c>
      <c r="D94" s="1">
        <v>11</v>
      </c>
      <c r="F94" s="1" t="s">
        <v>1235</v>
      </c>
      <c r="G94" s="1" t="s">
        <v>57</v>
      </c>
      <c r="H94" s="1" t="s">
        <v>1391</v>
      </c>
      <c r="K94" s="1" t="s">
        <v>1392</v>
      </c>
      <c r="M94" s="1" t="s">
        <v>1393</v>
      </c>
      <c r="T94" s="1" t="s">
        <v>1394</v>
      </c>
      <c r="U94" s="1" t="s">
        <v>1395</v>
      </c>
      <c r="X94" s="1" t="s">
        <v>1396</v>
      </c>
      <c r="Y94" s="1" t="s">
        <v>1397</v>
      </c>
      <c r="AB94" s="1" t="s">
        <v>1398</v>
      </c>
      <c r="AT94" s="1" t="s">
        <v>57</v>
      </c>
      <c r="AU94" s="1" t="s">
        <v>1399</v>
      </c>
      <c r="CA94" s="1">
        <v>1</v>
      </c>
      <c r="CB94" s="1">
        <v>11</v>
      </c>
      <c r="CC94" s="1" t="s">
        <v>1301</v>
      </c>
      <c r="CD94" s="1">
        <v>4</v>
      </c>
      <c r="CE94" s="1">
        <v>13</v>
      </c>
      <c r="CF94" s="1" t="s">
        <v>1400</v>
      </c>
      <c r="CG94" s="1">
        <v>2</v>
      </c>
      <c r="CH94" s="1">
        <v>10</v>
      </c>
      <c r="CI94" s="1" t="s">
        <v>1287</v>
      </c>
      <c r="CJ94" s="1">
        <v>2</v>
      </c>
      <c r="CK94" s="1">
        <v>7</v>
      </c>
      <c r="CL94" s="1" t="s">
        <v>1075</v>
      </c>
      <c r="CM94" s="1">
        <v>1</v>
      </c>
      <c r="CN94" s="1">
        <v>10</v>
      </c>
      <c r="CO94" s="1" t="s">
        <v>1272</v>
      </c>
      <c r="CP94" s="1">
        <v>1</v>
      </c>
      <c r="CQ94" s="1">
        <v>4</v>
      </c>
      <c r="CR94" s="1" t="s">
        <v>759</v>
      </c>
    </row>
    <row r="95" spans="1:96" x14ac:dyDescent="0.3">
      <c r="A95" s="1">
        <v>3</v>
      </c>
      <c r="B95" s="1">
        <v>12</v>
      </c>
      <c r="C95" s="1" t="s">
        <v>1401</v>
      </c>
      <c r="D95" s="1">
        <v>13</v>
      </c>
      <c r="F95" s="1" t="s">
        <v>1235</v>
      </c>
      <c r="G95" s="1" t="s">
        <v>57</v>
      </c>
      <c r="H95" s="1" t="s">
        <v>1402</v>
      </c>
      <c r="K95" s="1" t="s">
        <v>1403</v>
      </c>
      <c r="L95" s="1" t="s">
        <v>1404</v>
      </c>
      <c r="M95" s="1" t="s">
        <v>1405</v>
      </c>
      <c r="T95" s="1" t="s">
        <v>1406</v>
      </c>
      <c r="U95" s="1" t="s">
        <v>1407</v>
      </c>
      <c r="X95" s="1" t="s">
        <v>1408</v>
      </c>
      <c r="Y95" s="1" t="s">
        <v>1409</v>
      </c>
      <c r="AB95" s="1" t="s">
        <v>1410</v>
      </c>
      <c r="AD95" s="1" t="s">
        <v>1411</v>
      </c>
      <c r="AT95" s="1" t="s">
        <v>57</v>
      </c>
      <c r="AU95" s="1" t="s">
        <v>1412</v>
      </c>
      <c r="CA95" s="1">
        <v>2</v>
      </c>
      <c r="CB95" s="1">
        <v>11</v>
      </c>
      <c r="CC95" s="1" t="s">
        <v>1318</v>
      </c>
      <c r="CD95" s="1">
        <v>5</v>
      </c>
      <c r="CE95" s="1">
        <v>14</v>
      </c>
      <c r="CF95" s="1" t="s">
        <v>1413</v>
      </c>
      <c r="CG95" s="1">
        <v>2</v>
      </c>
      <c r="CH95" s="1">
        <v>11</v>
      </c>
      <c r="CI95" s="1" t="s">
        <v>1318</v>
      </c>
      <c r="CJ95" s="1">
        <v>1</v>
      </c>
      <c r="CK95" s="1">
        <v>8</v>
      </c>
      <c r="CL95" s="1" t="s">
        <v>1092</v>
      </c>
      <c r="CM95" s="1">
        <v>2</v>
      </c>
      <c r="CN95" s="1">
        <v>11</v>
      </c>
      <c r="CO95" s="1" t="s">
        <v>1318</v>
      </c>
      <c r="CP95" s="1">
        <v>1</v>
      </c>
      <c r="CQ95" s="1">
        <v>6</v>
      </c>
      <c r="CR95" s="1" t="s">
        <v>1030</v>
      </c>
    </row>
    <row r="96" spans="1:96" x14ac:dyDescent="0.3">
      <c r="A96" s="1">
        <v>2</v>
      </c>
      <c r="B96" s="1">
        <v>13</v>
      </c>
      <c r="C96" s="1" t="s">
        <v>1414</v>
      </c>
      <c r="D96" s="1">
        <v>18</v>
      </c>
      <c r="F96" s="1" t="s">
        <v>1235</v>
      </c>
      <c r="G96" s="1" t="s">
        <v>57</v>
      </c>
      <c r="H96" s="1" t="s">
        <v>1415</v>
      </c>
      <c r="I96" s="1" t="s">
        <v>1416</v>
      </c>
      <c r="J96" s="1" t="s">
        <v>1417</v>
      </c>
      <c r="K96" s="1" t="s">
        <v>1418</v>
      </c>
      <c r="L96" s="1" t="s">
        <v>1419</v>
      </c>
      <c r="M96" s="1" t="s">
        <v>1420</v>
      </c>
      <c r="O96" s="1" t="s">
        <v>1421</v>
      </c>
      <c r="T96" s="1" t="s">
        <v>1422</v>
      </c>
      <c r="U96" s="1" t="s">
        <v>1423</v>
      </c>
      <c r="X96" s="1" t="s">
        <v>1424</v>
      </c>
      <c r="Y96" s="1" t="s">
        <v>1425</v>
      </c>
      <c r="AB96" s="1" t="s">
        <v>1426</v>
      </c>
      <c r="AC96" s="1" t="s">
        <v>1427</v>
      </c>
      <c r="AD96" s="1" t="s">
        <v>1428</v>
      </c>
      <c r="AF96" s="1" t="s">
        <v>1429</v>
      </c>
      <c r="AT96" s="1" t="s">
        <v>57</v>
      </c>
      <c r="AU96" s="1" t="s">
        <v>1430</v>
      </c>
      <c r="CA96" s="1">
        <v>1</v>
      </c>
      <c r="CB96" s="1">
        <v>12</v>
      </c>
      <c r="CC96" s="1" t="s">
        <v>1334</v>
      </c>
      <c r="CD96" s="1">
        <v>5</v>
      </c>
      <c r="CE96" s="1">
        <v>13</v>
      </c>
      <c r="CF96" s="1" t="s">
        <v>1431</v>
      </c>
      <c r="CG96" s="1">
        <v>2</v>
      </c>
      <c r="CH96" s="1">
        <v>12</v>
      </c>
      <c r="CI96" s="1" t="s">
        <v>1432</v>
      </c>
      <c r="CJ96" s="1">
        <v>2</v>
      </c>
      <c r="CK96" s="1">
        <v>8</v>
      </c>
      <c r="CL96" s="1" t="s">
        <v>1108</v>
      </c>
      <c r="CM96" s="1">
        <v>3</v>
      </c>
      <c r="CN96" s="1">
        <v>11</v>
      </c>
      <c r="CO96" s="1" t="s">
        <v>1433</v>
      </c>
      <c r="CP96" s="1">
        <v>2</v>
      </c>
      <c r="CQ96" s="1">
        <v>6</v>
      </c>
      <c r="CR96" s="1" t="s">
        <v>1046</v>
      </c>
    </row>
    <row r="97" spans="1:96" x14ac:dyDescent="0.3">
      <c r="A97" s="1">
        <v>3</v>
      </c>
      <c r="B97" s="1">
        <v>13</v>
      </c>
      <c r="C97" s="1" t="s">
        <v>1434</v>
      </c>
      <c r="D97" s="1">
        <v>15</v>
      </c>
      <c r="F97" s="1" t="s">
        <v>1235</v>
      </c>
      <c r="G97" s="1" t="s">
        <v>57</v>
      </c>
      <c r="H97" s="1" t="s">
        <v>1435</v>
      </c>
      <c r="J97" s="1" t="s">
        <v>1436</v>
      </c>
      <c r="M97" s="1" t="s">
        <v>1437</v>
      </c>
      <c r="O97" s="1" t="s">
        <v>1438</v>
      </c>
      <c r="T97" s="1" t="s">
        <v>1439</v>
      </c>
      <c r="U97" s="1" t="s">
        <v>1440</v>
      </c>
      <c r="X97" s="1" t="s">
        <v>1441</v>
      </c>
      <c r="Y97" s="1" t="s">
        <v>1442</v>
      </c>
      <c r="AB97" s="1" t="s">
        <v>1443</v>
      </c>
      <c r="AC97" s="1" t="s">
        <v>1444</v>
      </c>
      <c r="AD97" s="1" t="s">
        <v>1445</v>
      </c>
      <c r="AF97" s="1" t="s">
        <v>1446</v>
      </c>
      <c r="AT97" s="1" t="s">
        <v>57</v>
      </c>
      <c r="AU97" s="1" t="s">
        <v>1447</v>
      </c>
      <c r="CA97" s="1">
        <v>2</v>
      </c>
      <c r="CB97" s="1">
        <v>12</v>
      </c>
      <c r="CC97" s="1" t="s">
        <v>1432</v>
      </c>
      <c r="CD97" s="1">
        <v>6</v>
      </c>
      <c r="CE97" s="1">
        <v>14</v>
      </c>
      <c r="CF97" s="1" t="s">
        <v>1448</v>
      </c>
      <c r="CG97" s="1">
        <v>1</v>
      </c>
      <c r="CH97" s="1">
        <v>12</v>
      </c>
      <c r="CI97" s="1" t="s">
        <v>1334</v>
      </c>
      <c r="CJ97" s="1">
        <v>1</v>
      </c>
      <c r="CK97" s="1">
        <v>9</v>
      </c>
      <c r="CL97" s="1" t="s">
        <v>1124</v>
      </c>
      <c r="CM97" s="1">
        <v>4</v>
      </c>
      <c r="CN97" s="1">
        <v>11</v>
      </c>
      <c r="CO97" s="1" t="s">
        <v>1449</v>
      </c>
      <c r="CP97" s="1">
        <v>2</v>
      </c>
      <c r="CQ97" s="1">
        <v>7</v>
      </c>
      <c r="CR97" s="1" t="s">
        <v>1075</v>
      </c>
    </row>
    <row r="98" spans="1:96" x14ac:dyDescent="0.3">
      <c r="A98" s="1">
        <v>4</v>
      </c>
      <c r="B98" s="1">
        <v>13</v>
      </c>
      <c r="C98" s="1" t="s">
        <v>1450</v>
      </c>
      <c r="D98" s="1">
        <v>15</v>
      </c>
      <c r="F98" s="1" t="s">
        <v>1235</v>
      </c>
      <c r="G98" s="1" t="s">
        <v>57</v>
      </c>
      <c r="H98" s="1" t="s">
        <v>1451</v>
      </c>
      <c r="I98" s="1" t="s">
        <v>1452</v>
      </c>
      <c r="J98" s="1" t="s">
        <v>1453</v>
      </c>
      <c r="M98" s="1" t="s">
        <v>1454</v>
      </c>
      <c r="O98" s="1" t="s">
        <v>1455</v>
      </c>
      <c r="T98" s="1" t="s">
        <v>1456</v>
      </c>
      <c r="U98" s="1" t="s">
        <v>1457</v>
      </c>
      <c r="X98" s="1" t="s">
        <v>1458</v>
      </c>
      <c r="Y98" s="1" t="s">
        <v>1459</v>
      </c>
      <c r="AB98" s="1" t="s">
        <v>1460</v>
      </c>
      <c r="AC98" s="1" t="s">
        <v>1461</v>
      </c>
      <c r="AD98" s="1" t="s">
        <v>1462</v>
      </c>
      <c r="AT98" s="1" t="s">
        <v>57</v>
      </c>
      <c r="AU98" s="1" t="s">
        <v>1463</v>
      </c>
      <c r="CA98" s="1">
        <v>3</v>
      </c>
      <c r="CB98" s="1">
        <v>12</v>
      </c>
      <c r="CC98" s="1" t="s">
        <v>1464</v>
      </c>
      <c r="CD98" s="1">
        <v>6</v>
      </c>
      <c r="CE98" s="1">
        <v>13</v>
      </c>
      <c r="CF98" s="1" t="s">
        <v>1465</v>
      </c>
      <c r="CG98" s="1">
        <v>1</v>
      </c>
      <c r="CH98" s="1">
        <v>14</v>
      </c>
      <c r="CI98" s="1" t="s">
        <v>1466</v>
      </c>
      <c r="CJ98" s="1">
        <v>2</v>
      </c>
      <c r="CK98" s="1">
        <v>9</v>
      </c>
      <c r="CL98" s="1" t="s">
        <v>1138</v>
      </c>
      <c r="CM98" s="1">
        <v>4</v>
      </c>
      <c r="CN98" s="1">
        <v>10</v>
      </c>
      <c r="CO98" s="1" t="s">
        <v>1467</v>
      </c>
      <c r="CP98" s="1">
        <v>2</v>
      </c>
      <c r="CQ98" s="1">
        <v>8</v>
      </c>
      <c r="CR98" s="1" t="s">
        <v>1108</v>
      </c>
    </row>
    <row r="99" spans="1:96" x14ac:dyDescent="0.3">
      <c r="A99" s="1">
        <v>5</v>
      </c>
      <c r="B99" s="1">
        <v>8</v>
      </c>
      <c r="C99" s="1" t="s">
        <v>1271</v>
      </c>
      <c r="D99" s="1">
        <v>12</v>
      </c>
      <c r="F99" s="1" t="s">
        <v>1468</v>
      </c>
      <c r="G99" s="1" t="s">
        <v>57</v>
      </c>
      <c r="H99" s="1" t="s">
        <v>1469</v>
      </c>
      <c r="I99" s="1" t="s">
        <v>1470</v>
      </c>
      <c r="J99" s="1" t="s">
        <v>1471</v>
      </c>
      <c r="O99" s="1" t="s">
        <v>1472</v>
      </c>
      <c r="T99" s="1" t="s">
        <v>1473</v>
      </c>
      <c r="U99" s="1" t="s">
        <v>1474</v>
      </c>
      <c r="X99" s="1" t="s">
        <v>1475</v>
      </c>
      <c r="Y99" s="1" t="s">
        <v>1476</v>
      </c>
      <c r="AL99" s="1" t="s">
        <v>1477</v>
      </c>
      <c r="AT99" s="1" t="s">
        <v>57</v>
      </c>
      <c r="AU99" s="1" t="s">
        <v>1125</v>
      </c>
      <c r="AX99" s="1" t="s">
        <v>1478</v>
      </c>
      <c r="AY99" s="1" t="s">
        <v>1479</v>
      </c>
      <c r="BC99" s="1" t="s">
        <v>1480</v>
      </c>
      <c r="BE99" s="1" t="s">
        <v>1481</v>
      </c>
      <c r="CA99" s="1">
        <v>4</v>
      </c>
      <c r="CB99" s="1">
        <v>7</v>
      </c>
      <c r="CC99" s="1" t="s">
        <v>1220</v>
      </c>
      <c r="CD99" s="1">
        <v>4</v>
      </c>
      <c r="CE99" s="1">
        <v>9</v>
      </c>
      <c r="CF99" s="1" t="s">
        <v>1482</v>
      </c>
      <c r="CG99" s="1">
        <v>5</v>
      </c>
      <c r="CH99" s="1">
        <v>4</v>
      </c>
      <c r="CI99" s="1" t="s">
        <v>702</v>
      </c>
      <c r="CJ99" s="1">
        <v>3</v>
      </c>
      <c r="CK99" s="1">
        <v>3</v>
      </c>
      <c r="CL99" s="1" t="s">
        <v>599</v>
      </c>
      <c r="CM99" s="1">
        <v>3</v>
      </c>
      <c r="CN99" s="1">
        <v>5</v>
      </c>
      <c r="CO99" s="1" t="s">
        <v>1152</v>
      </c>
      <c r="CP99" s="1">
        <v>3</v>
      </c>
      <c r="CQ99" s="1">
        <v>2</v>
      </c>
      <c r="CR99" s="1" t="s">
        <v>636</v>
      </c>
    </row>
    <row r="100" spans="1:96" x14ac:dyDescent="0.3">
      <c r="A100" s="1">
        <v>6</v>
      </c>
      <c r="B100" s="1">
        <v>8</v>
      </c>
      <c r="C100" s="1" t="s">
        <v>1286</v>
      </c>
      <c r="D100" s="1">
        <v>12</v>
      </c>
      <c r="F100" s="1" t="s">
        <v>1468</v>
      </c>
      <c r="G100" s="1" t="s">
        <v>57</v>
      </c>
      <c r="H100" s="1" t="s">
        <v>1483</v>
      </c>
      <c r="I100" s="1" t="s">
        <v>1484</v>
      </c>
      <c r="J100" s="1" t="s">
        <v>1485</v>
      </c>
      <c r="O100" s="1" t="s">
        <v>1486</v>
      </c>
      <c r="T100" s="1" t="s">
        <v>1487</v>
      </c>
      <c r="U100" s="1" t="s">
        <v>1488</v>
      </c>
      <c r="X100" s="1" t="s">
        <v>1489</v>
      </c>
      <c r="Y100" s="1" t="s">
        <v>1490</v>
      </c>
      <c r="AL100" s="1" t="s">
        <v>1491</v>
      </c>
      <c r="AT100" s="1" t="s">
        <v>57</v>
      </c>
      <c r="AU100" s="1" t="s">
        <v>1258</v>
      </c>
      <c r="AX100" s="1" t="s">
        <v>1492</v>
      </c>
      <c r="AY100" s="1" t="s">
        <v>1493</v>
      </c>
      <c r="BD100" s="1" t="s">
        <v>1494</v>
      </c>
      <c r="BF100" s="1" t="s">
        <v>1495</v>
      </c>
      <c r="CA100" s="1">
        <v>5</v>
      </c>
      <c r="CB100" s="1">
        <v>7</v>
      </c>
      <c r="CC100" s="1" t="s">
        <v>1496</v>
      </c>
      <c r="CD100" s="1">
        <v>3</v>
      </c>
      <c r="CE100" s="1">
        <v>10</v>
      </c>
      <c r="CF100" s="1" t="s">
        <v>1497</v>
      </c>
      <c r="CG100" s="1">
        <v>3</v>
      </c>
      <c r="CH100" s="1">
        <v>4</v>
      </c>
      <c r="CI100" s="1" t="s">
        <v>718</v>
      </c>
      <c r="CJ100" s="1">
        <v>4</v>
      </c>
      <c r="CK100" s="1">
        <v>3</v>
      </c>
      <c r="CL100" s="1" t="s">
        <v>213</v>
      </c>
      <c r="CM100" s="1">
        <v>4</v>
      </c>
      <c r="CN100" s="1">
        <v>5</v>
      </c>
      <c r="CO100" s="1" t="s">
        <v>1166</v>
      </c>
      <c r="CP100" s="1">
        <v>3</v>
      </c>
      <c r="CQ100" s="1">
        <v>4</v>
      </c>
      <c r="CR100" s="1" t="s">
        <v>718</v>
      </c>
    </row>
    <row r="101" spans="1:96" x14ac:dyDescent="0.3">
      <c r="A101" s="1">
        <v>5</v>
      </c>
      <c r="B101" s="1">
        <v>9</v>
      </c>
      <c r="C101" s="1" t="s">
        <v>1300</v>
      </c>
      <c r="D101" s="1">
        <v>15</v>
      </c>
      <c r="F101" s="1" t="s">
        <v>1468</v>
      </c>
      <c r="G101" s="1" t="s">
        <v>231</v>
      </c>
      <c r="H101" s="1" t="s">
        <v>1498</v>
      </c>
      <c r="I101" s="1" t="s">
        <v>1499</v>
      </c>
      <c r="J101" s="1" t="s">
        <v>1500</v>
      </c>
      <c r="K101" s="1" t="s">
        <v>1501</v>
      </c>
      <c r="L101" s="1" t="s">
        <v>1502</v>
      </c>
      <c r="O101" s="1" t="s">
        <v>1503</v>
      </c>
      <c r="T101" s="1" t="s">
        <v>1504</v>
      </c>
      <c r="U101" s="1" t="s">
        <v>1505</v>
      </c>
      <c r="X101" s="1" t="s">
        <v>1506</v>
      </c>
      <c r="Y101" s="1" t="s">
        <v>1507</v>
      </c>
      <c r="AB101" s="1" t="s">
        <v>1508</v>
      </c>
      <c r="AL101" s="1" t="s">
        <v>1509</v>
      </c>
      <c r="AT101" s="1" t="s">
        <v>57</v>
      </c>
      <c r="AU101" s="1" t="s">
        <v>1273</v>
      </c>
      <c r="AX101" s="1" t="s">
        <v>1510</v>
      </c>
      <c r="AY101" s="1" t="s">
        <v>1511</v>
      </c>
      <c r="BD101" s="1" t="s">
        <v>1512</v>
      </c>
      <c r="BF101" s="1" t="s">
        <v>1513</v>
      </c>
      <c r="CA101" s="1">
        <v>4</v>
      </c>
      <c r="CB101" s="1">
        <v>8</v>
      </c>
      <c r="CC101" s="1" t="s">
        <v>1246</v>
      </c>
      <c r="CD101" s="1">
        <v>4</v>
      </c>
      <c r="CE101" s="1">
        <v>10</v>
      </c>
      <c r="CF101" s="1" t="s">
        <v>1467</v>
      </c>
      <c r="CG101" s="1">
        <v>3</v>
      </c>
      <c r="CH101" s="1">
        <v>5</v>
      </c>
      <c r="CI101" s="1" t="s">
        <v>1152</v>
      </c>
      <c r="CJ101" s="1">
        <v>3</v>
      </c>
      <c r="CK101" s="1">
        <v>4</v>
      </c>
      <c r="CL101" s="1" t="s">
        <v>718</v>
      </c>
      <c r="CM101" s="1">
        <v>3</v>
      </c>
      <c r="CN101" s="1">
        <v>6</v>
      </c>
      <c r="CO101" s="1" t="s">
        <v>1177</v>
      </c>
      <c r="CP101" s="1">
        <v>3</v>
      </c>
      <c r="CQ101" s="1">
        <v>5</v>
      </c>
      <c r="CR101" s="1" t="s">
        <v>1152</v>
      </c>
    </row>
    <row r="102" spans="1:96" x14ac:dyDescent="0.3">
      <c r="A102" s="1">
        <v>6</v>
      </c>
      <c r="B102" s="1">
        <v>9</v>
      </c>
      <c r="C102" s="1" t="s">
        <v>1317</v>
      </c>
      <c r="D102" s="1">
        <v>15</v>
      </c>
      <c r="F102" s="1" t="s">
        <v>1468</v>
      </c>
      <c r="G102" s="1" t="s">
        <v>57</v>
      </c>
      <c r="H102" s="1" t="s">
        <v>1514</v>
      </c>
      <c r="I102" s="1" t="s">
        <v>1515</v>
      </c>
      <c r="K102" s="1" t="s">
        <v>1516</v>
      </c>
      <c r="L102" s="1" t="s">
        <v>1517</v>
      </c>
      <c r="M102" s="1" t="s">
        <v>1518</v>
      </c>
      <c r="O102" s="1" t="s">
        <v>1519</v>
      </c>
      <c r="T102" s="1" t="s">
        <v>1520</v>
      </c>
      <c r="U102" s="1" t="s">
        <v>1521</v>
      </c>
      <c r="X102" s="1" t="s">
        <v>1522</v>
      </c>
      <c r="Y102" s="1" t="s">
        <v>1523</v>
      </c>
      <c r="AB102" s="1" t="s">
        <v>1524</v>
      </c>
      <c r="AL102" s="1" t="s">
        <v>1525</v>
      </c>
      <c r="AT102" s="1" t="s">
        <v>57</v>
      </c>
      <c r="AU102" s="1" t="s">
        <v>1288</v>
      </c>
      <c r="AX102" s="1" t="s">
        <v>1526</v>
      </c>
      <c r="AY102" s="1" t="s">
        <v>1527</v>
      </c>
      <c r="BC102" s="1" t="s">
        <v>1528</v>
      </c>
      <c r="BE102" s="1" t="s">
        <v>1529</v>
      </c>
      <c r="CA102" s="1">
        <v>5</v>
      </c>
      <c r="CB102" s="1">
        <v>8</v>
      </c>
      <c r="CC102" s="1" t="s">
        <v>1530</v>
      </c>
      <c r="CD102" s="1">
        <v>3</v>
      </c>
      <c r="CE102" s="1">
        <v>11</v>
      </c>
      <c r="CF102" s="1" t="s">
        <v>1433</v>
      </c>
      <c r="CG102" s="1">
        <v>4</v>
      </c>
      <c r="CH102" s="1">
        <v>5</v>
      </c>
      <c r="CI102" s="1" t="s">
        <v>1166</v>
      </c>
      <c r="CJ102" s="1">
        <v>4</v>
      </c>
      <c r="CK102" s="1">
        <v>4</v>
      </c>
      <c r="CL102" s="1" t="s">
        <v>229</v>
      </c>
      <c r="CM102" s="1">
        <v>4</v>
      </c>
      <c r="CN102" s="1">
        <v>6</v>
      </c>
      <c r="CO102" s="1" t="s">
        <v>1189</v>
      </c>
      <c r="CP102" s="1">
        <v>3</v>
      </c>
      <c r="CQ102" s="1">
        <v>6</v>
      </c>
      <c r="CR102" s="1" t="s">
        <v>1177</v>
      </c>
    </row>
    <row r="103" spans="1:96" x14ac:dyDescent="0.3">
      <c r="A103" s="1">
        <v>4</v>
      </c>
      <c r="B103" s="1">
        <v>10</v>
      </c>
      <c r="C103" s="1" t="s">
        <v>1333</v>
      </c>
      <c r="D103" s="1">
        <v>12</v>
      </c>
      <c r="F103" s="1" t="s">
        <v>1468</v>
      </c>
      <c r="G103" s="1" t="s">
        <v>57</v>
      </c>
      <c r="H103" s="1" t="s">
        <v>1531</v>
      </c>
      <c r="K103" s="1" t="s">
        <v>1532</v>
      </c>
      <c r="M103" s="1" t="s">
        <v>1533</v>
      </c>
      <c r="O103" s="1" t="s">
        <v>1534</v>
      </c>
      <c r="T103" s="1" t="s">
        <v>1535</v>
      </c>
      <c r="U103" s="1" t="s">
        <v>1536</v>
      </c>
      <c r="X103" s="1" t="s">
        <v>1537</v>
      </c>
      <c r="Y103" s="1" t="s">
        <v>1538</v>
      </c>
      <c r="AB103" s="1" t="s">
        <v>1539</v>
      </c>
      <c r="AD103" s="1" t="s">
        <v>1540</v>
      </c>
      <c r="AT103" s="1" t="s">
        <v>57</v>
      </c>
      <c r="AU103" s="1" t="s">
        <v>1302</v>
      </c>
      <c r="AX103" s="1" t="s">
        <v>1541</v>
      </c>
      <c r="AY103" s="1" t="s">
        <v>1542</v>
      </c>
      <c r="BC103" s="1" t="s">
        <v>1543</v>
      </c>
      <c r="BD103" s="1" t="s">
        <v>1544</v>
      </c>
      <c r="BE103" s="1" t="s">
        <v>1545</v>
      </c>
      <c r="BF103" s="1" t="s">
        <v>1546</v>
      </c>
      <c r="CA103" s="1">
        <v>3</v>
      </c>
      <c r="CB103" s="1">
        <v>9</v>
      </c>
      <c r="CC103" s="1" t="s">
        <v>1257</v>
      </c>
      <c r="CD103" s="1">
        <v>4</v>
      </c>
      <c r="CE103" s="1">
        <v>11</v>
      </c>
      <c r="CF103" s="1" t="s">
        <v>1449</v>
      </c>
      <c r="CG103" s="1">
        <v>3</v>
      </c>
      <c r="CH103" s="1">
        <v>6</v>
      </c>
      <c r="CI103" s="1" t="s">
        <v>1177</v>
      </c>
      <c r="CJ103" s="1">
        <v>3</v>
      </c>
      <c r="CK103" s="1">
        <v>5</v>
      </c>
      <c r="CL103" s="1" t="s">
        <v>1152</v>
      </c>
      <c r="CM103" s="1">
        <v>3</v>
      </c>
      <c r="CN103" s="1">
        <v>7</v>
      </c>
      <c r="CO103" s="1" t="s">
        <v>1206</v>
      </c>
      <c r="CP103" s="1">
        <v>0</v>
      </c>
      <c r="CQ103" s="1">
        <v>0</v>
      </c>
    </row>
    <row r="104" spans="1:96" x14ac:dyDescent="0.3">
      <c r="A104" s="1">
        <v>5</v>
      </c>
      <c r="B104" s="1">
        <v>10</v>
      </c>
      <c r="C104" s="1" t="s">
        <v>1348</v>
      </c>
      <c r="D104" s="1">
        <v>15</v>
      </c>
      <c r="F104" s="1" t="s">
        <v>1468</v>
      </c>
      <c r="G104" s="1" t="s">
        <v>57</v>
      </c>
      <c r="H104" s="1" t="s">
        <v>1547</v>
      </c>
      <c r="I104" s="1" t="s">
        <v>1548</v>
      </c>
      <c r="J104" s="1" t="s">
        <v>1549</v>
      </c>
      <c r="K104" s="1" t="s">
        <v>1550</v>
      </c>
      <c r="M104" s="1" t="s">
        <v>1551</v>
      </c>
      <c r="O104" s="1" t="s">
        <v>1552</v>
      </c>
      <c r="T104" s="1" t="s">
        <v>1553</v>
      </c>
      <c r="U104" s="1" t="s">
        <v>1554</v>
      </c>
      <c r="X104" s="1" t="s">
        <v>1555</v>
      </c>
      <c r="Y104" s="1" t="s">
        <v>1556</v>
      </c>
      <c r="AB104" s="1" t="s">
        <v>1557</v>
      </c>
      <c r="AC104" s="1" t="s">
        <v>1558</v>
      </c>
      <c r="AD104" s="1" t="s">
        <v>1559</v>
      </c>
      <c r="AT104" s="1" t="s">
        <v>57</v>
      </c>
      <c r="AU104" s="1" t="s">
        <v>1319</v>
      </c>
      <c r="AX104" s="1" t="s">
        <v>1560</v>
      </c>
      <c r="AY104" s="1" t="s">
        <v>1561</v>
      </c>
      <c r="BC104" s="1" t="s">
        <v>1562</v>
      </c>
      <c r="BD104" s="1" t="s">
        <v>1563</v>
      </c>
      <c r="BE104" s="1" t="s">
        <v>1564</v>
      </c>
      <c r="BF104" s="1" t="s">
        <v>1565</v>
      </c>
      <c r="CA104" s="1">
        <v>4</v>
      </c>
      <c r="CB104" s="1">
        <v>9</v>
      </c>
      <c r="CC104" s="1" t="s">
        <v>1482</v>
      </c>
      <c r="CD104" s="1">
        <v>2</v>
      </c>
      <c r="CE104" s="1">
        <v>12</v>
      </c>
      <c r="CF104" s="1" t="s">
        <v>1432</v>
      </c>
      <c r="CG104" s="1">
        <v>4</v>
      </c>
      <c r="CH104" s="1">
        <v>8</v>
      </c>
      <c r="CI104" s="1" t="s">
        <v>1246</v>
      </c>
      <c r="CJ104" s="1">
        <v>4</v>
      </c>
      <c r="CK104" s="1">
        <v>5</v>
      </c>
      <c r="CL104" s="1" t="s">
        <v>1166</v>
      </c>
      <c r="CM104" s="1">
        <v>4</v>
      </c>
      <c r="CN104" s="1">
        <v>7</v>
      </c>
      <c r="CO104" s="1" t="s">
        <v>1220</v>
      </c>
      <c r="CP104" s="1">
        <v>0</v>
      </c>
      <c r="CQ104" s="1">
        <v>0</v>
      </c>
    </row>
    <row r="105" spans="1:96" x14ac:dyDescent="0.3">
      <c r="A105" s="1">
        <v>6</v>
      </c>
      <c r="B105" s="1">
        <v>10</v>
      </c>
      <c r="C105" s="1" t="s">
        <v>1361</v>
      </c>
      <c r="D105" s="1">
        <v>14</v>
      </c>
      <c r="F105" s="1" t="s">
        <v>1468</v>
      </c>
      <c r="G105" s="1" t="s">
        <v>57</v>
      </c>
      <c r="H105" s="1" t="s">
        <v>1566</v>
      </c>
      <c r="I105" s="1" t="s">
        <v>1567</v>
      </c>
      <c r="J105" s="1" t="s">
        <v>1568</v>
      </c>
      <c r="L105" s="1" t="s">
        <v>1569</v>
      </c>
      <c r="M105" s="1" t="s">
        <v>1570</v>
      </c>
      <c r="T105" s="1" t="s">
        <v>1571</v>
      </c>
      <c r="U105" s="1" t="s">
        <v>1572</v>
      </c>
      <c r="X105" s="1" t="s">
        <v>1573</v>
      </c>
      <c r="Y105" s="1" t="s">
        <v>1574</v>
      </c>
      <c r="AB105" s="1" t="s">
        <v>1575</v>
      </c>
      <c r="AC105" s="1" t="s">
        <v>1576</v>
      </c>
      <c r="AD105" s="1" t="s">
        <v>1577</v>
      </c>
      <c r="AT105" s="1" t="s">
        <v>57</v>
      </c>
      <c r="AU105" s="1" t="s">
        <v>1335</v>
      </c>
      <c r="AX105" s="1" t="s">
        <v>1578</v>
      </c>
      <c r="AY105" s="1" t="s">
        <v>1579</v>
      </c>
      <c r="BC105" s="1" t="s">
        <v>1580</v>
      </c>
      <c r="BD105" s="1" t="s">
        <v>1581</v>
      </c>
      <c r="BE105" s="1" t="s">
        <v>1582</v>
      </c>
      <c r="BF105" s="1" t="s">
        <v>1583</v>
      </c>
      <c r="CA105" s="1">
        <v>5</v>
      </c>
      <c r="CB105" s="1">
        <v>9</v>
      </c>
      <c r="CC105" s="1" t="s">
        <v>1584</v>
      </c>
      <c r="CD105" s="1">
        <v>3</v>
      </c>
      <c r="CE105" s="1">
        <v>12</v>
      </c>
      <c r="CF105" s="1" t="s">
        <v>1464</v>
      </c>
      <c r="CG105" s="1">
        <v>3</v>
      </c>
      <c r="CH105" s="1">
        <v>8</v>
      </c>
      <c r="CI105" s="1" t="s">
        <v>1234</v>
      </c>
      <c r="CJ105" s="1">
        <v>3</v>
      </c>
      <c r="CK105" s="1">
        <v>6</v>
      </c>
      <c r="CL105" s="1" t="s">
        <v>1177</v>
      </c>
      <c r="CM105" s="1">
        <v>3</v>
      </c>
      <c r="CN105" s="1">
        <v>8</v>
      </c>
      <c r="CO105" s="1" t="s">
        <v>1234</v>
      </c>
      <c r="CP105" s="1">
        <v>0</v>
      </c>
      <c r="CQ105" s="1">
        <v>0</v>
      </c>
    </row>
    <row r="106" spans="1:96" x14ac:dyDescent="0.3">
      <c r="A106" s="1">
        <v>4</v>
      </c>
      <c r="B106" s="1">
        <v>11</v>
      </c>
      <c r="C106" s="1" t="s">
        <v>1374</v>
      </c>
      <c r="D106" s="1">
        <v>14</v>
      </c>
      <c r="F106" s="1" t="s">
        <v>1468</v>
      </c>
      <c r="G106" s="1" t="s">
        <v>57</v>
      </c>
      <c r="H106" s="1" t="s">
        <v>1585</v>
      </c>
      <c r="I106" s="1" t="s">
        <v>1586</v>
      </c>
      <c r="J106" s="1" t="s">
        <v>1587</v>
      </c>
      <c r="L106" s="1" t="s">
        <v>1588</v>
      </c>
      <c r="M106" s="1" t="s">
        <v>1589</v>
      </c>
      <c r="T106" s="1" t="s">
        <v>1590</v>
      </c>
      <c r="U106" s="1" t="s">
        <v>1591</v>
      </c>
      <c r="X106" s="1" t="s">
        <v>1592</v>
      </c>
      <c r="Y106" s="1" t="s">
        <v>1593</v>
      </c>
      <c r="AB106" s="1" t="s">
        <v>1594</v>
      </c>
      <c r="AC106" s="1" t="s">
        <v>1595</v>
      </c>
      <c r="AD106" s="1" t="s">
        <v>1596</v>
      </c>
      <c r="AT106" s="1" t="s">
        <v>57</v>
      </c>
      <c r="AU106" s="1" t="s">
        <v>1350</v>
      </c>
      <c r="AX106" s="1" t="s">
        <v>1597</v>
      </c>
      <c r="AY106" s="1" t="s">
        <v>1598</v>
      </c>
      <c r="BC106" s="1" t="s">
        <v>1599</v>
      </c>
      <c r="BD106" s="1" t="s">
        <v>1600</v>
      </c>
      <c r="BE106" s="1" t="s">
        <v>1601</v>
      </c>
      <c r="BF106" s="1" t="s">
        <v>1602</v>
      </c>
      <c r="CA106" s="1">
        <v>3</v>
      </c>
      <c r="CB106" s="1">
        <v>10</v>
      </c>
      <c r="CC106" s="1" t="s">
        <v>1497</v>
      </c>
      <c r="CD106" s="1">
        <v>2</v>
      </c>
      <c r="CE106" s="1">
        <v>13</v>
      </c>
      <c r="CF106" s="1" t="s">
        <v>1603</v>
      </c>
      <c r="CG106" s="1">
        <v>3</v>
      </c>
      <c r="CH106" s="1">
        <v>9</v>
      </c>
      <c r="CI106" s="1" t="s">
        <v>1257</v>
      </c>
      <c r="CJ106" s="1">
        <v>4</v>
      </c>
      <c r="CK106" s="1">
        <v>6</v>
      </c>
      <c r="CL106" s="1" t="s">
        <v>1189</v>
      </c>
      <c r="CM106" s="1">
        <v>4</v>
      </c>
      <c r="CN106" s="1">
        <v>8</v>
      </c>
      <c r="CO106" s="1" t="s">
        <v>1246</v>
      </c>
      <c r="CP106" s="1">
        <v>0</v>
      </c>
      <c r="CQ106" s="1">
        <v>0</v>
      </c>
    </row>
    <row r="107" spans="1:96" x14ac:dyDescent="0.3">
      <c r="A107" s="1">
        <v>5</v>
      </c>
      <c r="B107" s="1">
        <v>11</v>
      </c>
      <c r="C107" s="1" t="s">
        <v>1388</v>
      </c>
      <c r="D107" s="1">
        <v>12</v>
      </c>
      <c r="F107" s="1" t="s">
        <v>1468</v>
      </c>
      <c r="G107" s="1" t="s">
        <v>57</v>
      </c>
      <c r="H107" s="1" t="s">
        <v>1604</v>
      </c>
      <c r="I107" s="1" t="s">
        <v>1605</v>
      </c>
      <c r="J107" s="1" t="s">
        <v>1606</v>
      </c>
      <c r="L107" s="1" t="s">
        <v>1607</v>
      </c>
      <c r="M107" s="1" t="s">
        <v>1608</v>
      </c>
      <c r="O107" s="1" t="s">
        <v>1609</v>
      </c>
      <c r="T107" s="1" t="s">
        <v>1610</v>
      </c>
      <c r="U107" s="1" t="s">
        <v>1611</v>
      </c>
      <c r="X107" s="1" t="s">
        <v>1612</v>
      </c>
      <c r="Y107" s="1" t="s">
        <v>1613</v>
      </c>
      <c r="AT107" s="1" t="s">
        <v>57</v>
      </c>
      <c r="AU107" s="1" t="s">
        <v>1363</v>
      </c>
      <c r="AX107" s="1" t="s">
        <v>1614</v>
      </c>
      <c r="AY107" s="1" t="s">
        <v>1615</v>
      </c>
      <c r="BC107" s="1" t="s">
        <v>1616</v>
      </c>
      <c r="BD107" s="1" t="s">
        <v>1617</v>
      </c>
      <c r="BE107" s="1" t="s">
        <v>1618</v>
      </c>
      <c r="BF107" s="1" t="s">
        <v>1619</v>
      </c>
      <c r="CA107" s="1">
        <v>4</v>
      </c>
      <c r="CB107" s="1">
        <v>10</v>
      </c>
      <c r="CC107" s="1" t="s">
        <v>1467</v>
      </c>
      <c r="CD107" s="1">
        <v>3</v>
      </c>
      <c r="CE107" s="1">
        <v>13</v>
      </c>
      <c r="CF107" s="1" t="s">
        <v>1620</v>
      </c>
      <c r="CG107" s="1">
        <v>3</v>
      </c>
      <c r="CH107" s="1">
        <v>10</v>
      </c>
      <c r="CI107" s="1" t="s">
        <v>1497</v>
      </c>
      <c r="CJ107" s="1">
        <v>3</v>
      </c>
      <c r="CK107" s="1">
        <v>7</v>
      </c>
      <c r="CL107" s="1" t="s">
        <v>1206</v>
      </c>
      <c r="CM107" s="1">
        <v>2</v>
      </c>
      <c r="CN107" s="1">
        <v>9</v>
      </c>
      <c r="CO107" s="1" t="s">
        <v>1138</v>
      </c>
      <c r="CP107" s="1">
        <v>0</v>
      </c>
      <c r="CQ107" s="1">
        <v>0</v>
      </c>
    </row>
    <row r="108" spans="1:96" x14ac:dyDescent="0.3">
      <c r="A108" s="1">
        <v>6</v>
      </c>
      <c r="B108" s="1">
        <v>11</v>
      </c>
      <c r="C108" s="1" t="s">
        <v>1399</v>
      </c>
      <c r="D108" s="1">
        <v>11</v>
      </c>
      <c r="F108" s="1" t="s">
        <v>1468</v>
      </c>
      <c r="G108" s="1" t="s">
        <v>57</v>
      </c>
      <c r="H108" s="1" t="s">
        <v>1621</v>
      </c>
      <c r="I108" s="1" t="s">
        <v>1622</v>
      </c>
      <c r="J108" s="1" t="s">
        <v>1623</v>
      </c>
      <c r="L108" s="1" t="s">
        <v>1624</v>
      </c>
      <c r="M108" s="1" t="s">
        <v>1625</v>
      </c>
      <c r="O108" s="1" t="s">
        <v>1626</v>
      </c>
      <c r="T108" s="1" t="s">
        <v>1627</v>
      </c>
      <c r="X108" s="1" t="s">
        <v>1628</v>
      </c>
      <c r="Y108" s="1" t="s">
        <v>1629</v>
      </c>
      <c r="AT108" s="1" t="s">
        <v>57</v>
      </c>
      <c r="AU108" s="1" t="s">
        <v>1376</v>
      </c>
      <c r="AX108" s="1" t="s">
        <v>1630</v>
      </c>
      <c r="AY108" s="1" t="s">
        <v>1631</v>
      </c>
      <c r="BC108" s="1" t="s">
        <v>1632</v>
      </c>
      <c r="BD108" s="1" t="s">
        <v>1633</v>
      </c>
      <c r="BE108" s="1" t="s">
        <v>1634</v>
      </c>
      <c r="BF108" s="1" t="s">
        <v>1635</v>
      </c>
      <c r="CA108" s="1">
        <v>5</v>
      </c>
      <c r="CB108" s="1">
        <v>10</v>
      </c>
      <c r="CC108" s="1" t="s">
        <v>1636</v>
      </c>
      <c r="CD108" s="1">
        <v>4</v>
      </c>
      <c r="CE108" s="1">
        <v>12</v>
      </c>
      <c r="CF108" s="1" t="s">
        <v>1637</v>
      </c>
      <c r="CG108" s="1">
        <v>4</v>
      </c>
      <c r="CH108" s="1">
        <v>10</v>
      </c>
      <c r="CI108" s="1" t="s">
        <v>1467</v>
      </c>
      <c r="CJ108" s="1">
        <v>4</v>
      </c>
      <c r="CK108" s="1">
        <v>7</v>
      </c>
      <c r="CL108" s="1" t="s">
        <v>1220</v>
      </c>
      <c r="CM108" s="1">
        <v>3</v>
      </c>
      <c r="CN108" s="1">
        <v>9</v>
      </c>
      <c r="CO108" s="1" t="s">
        <v>1257</v>
      </c>
      <c r="CP108" s="1">
        <v>0</v>
      </c>
      <c r="CQ108" s="1">
        <v>0</v>
      </c>
    </row>
    <row r="109" spans="1:96" x14ac:dyDescent="0.3">
      <c r="A109" s="1">
        <v>5</v>
      </c>
      <c r="B109" s="1">
        <v>12</v>
      </c>
      <c r="C109" s="1" t="s">
        <v>1412</v>
      </c>
      <c r="D109" s="1">
        <v>13</v>
      </c>
      <c r="F109" s="1" t="s">
        <v>1468</v>
      </c>
      <c r="G109" s="1" t="s">
        <v>57</v>
      </c>
      <c r="H109" s="1" t="s">
        <v>1638</v>
      </c>
      <c r="I109" s="1" t="s">
        <v>1639</v>
      </c>
      <c r="J109" s="1" t="s">
        <v>1640</v>
      </c>
      <c r="K109" s="1" t="s">
        <v>1641</v>
      </c>
      <c r="M109" s="1" t="s">
        <v>1642</v>
      </c>
      <c r="O109" s="1" t="s">
        <v>1643</v>
      </c>
      <c r="T109" s="1" t="s">
        <v>1644</v>
      </c>
      <c r="U109" s="1" t="s">
        <v>1645</v>
      </c>
      <c r="X109" s="1" t="s">
        <v>1646</v>
      </c>
      <c r="Y109" s="1" t="s">
        <v>1647</v>
      </c>
      <c r="AB109" s="1" t="s">
        <v>1648</v>
      </c>
      <c r="AT109" s="1" t="s">
        <v>57</v>
      </c>
      <c r="AU109" s="1" t="s">
        <v>1390</v>
      </c>
      <c r="AX109" s="1" t="s">
        <v>1649</v>
      </c>
      <c r="AY109" s="1" t="s">
        <v>1650</v>
      </c>
      <c r="BC109" s="1" t="s">
        <v>1651</v>
      </c>
      <c r="BD109" s="1" t="s">
        <v>1652</v>
      </c>
      <c r="BE109" s="1" t="s">
        <v>1653</v>
      </c>
      <c r="BF109" s="1" t="s">
        <v>1654</v>
      </c>
      <c r="CA109" s="1">
        <v>4</v>
      </c>
      <c r="CB109" s="1">
        <v>11</v>
      </c>
      <c r="CC109" s="1" t="s">
        <v>1449</v>
      </c>
      <c r="CD109" s="1">
        <v>5</v>
      </c>
      <c r="CE109" s="1">
        <v>12</v>
      </c>
      <c r="CF109" s="1" t="s">
        <v>1655</v>
      </c>
      <c r="CG109" s="1">
        <v>4</v>
      </c>
      <c r="CH109" s="1">
        <v>13</v>
      </c>
      <c r="CI109" s="1" t="s">
        <v>1400</v>
      </c>
      <c r="CJ109" s="1">
        <v>3</v>
      </c>
      <c r="CK109" s="1">
        <v>8</v>
      </c>
      <c r="CL109" s="1" t="s">
        <v>1234</v>
      </c>
      <c r="CM109" s="1">
        <v>4</v>
      </c>
      <c r="CN109" s="1">
        <v>9</v>
      </c>
      <c r="CO109" s="1" t="s">
        <v>1482</v>
      </c>
      <c r="CP109" s="1">
        <v>0</v>
      </c>
      <c r="CQ109" s="1">
        <v>0</v>
      </c>
    </row>
    <row r="110" spans="1:96" x14ac:dyDescent="0.3">
      <c r="A110" s="1">
        <v>6</v>
      </c>
      <c r="B110" s="1">
        <v>12</v>
      </c>
      <c r="C110" s="1" t="s">
        <v>1430</v>
      </c>
      <c r="D110" s="1">
        <v>10</v>
      </c>
      <c r="F110" s="1" t="s">
        <v>1468</v>
      </c>
      <c r="G110" s="1" t="s">
        <v>231</v>
      </c>
      <c r="H110" s="1" t="s">
        <v>1656</v>
      </c>
      <c r="K110" s="1" t="s">
        <v>1657</v>
      </c>
      <c r="M110" s="1" t="s">
        <v>1658</v>
      </c>
      <c r="T110" s="1" t="s">
        <v>1659</v>
      </c>
      <c r="U110" s="1" t="s">
        <v>1660</v>
      </c>
      <c r="X110" s="1" t="s">
        <v>1661</v>
      </c>
      <c r="Y110" s="1" t="s">
        <v>1662</v>
      </c>
      <c r="AB110" s="1" t="s">
        <v>1663</v>
      </c>
      <c r="AT110" s="1" t="s">
        <v>57</v>
      </c>
      <c r="AU110" s="1" t="s">
        <v>1401</v>
      </c>
      <c r="AX110" s="1" t="s">
        <v>1664</v>
      </c>
      <c r="AY110" s="1" t="s">
        <v>1665</v>
      </c>
      <c r="BC110" s="1" t="s">
        <v>1666</v>
      </c>
      <c r="BD110" s="1" t="s">
        <v>1667</v>
      </c>
      <c r="BE110" s="1" t="s">
        <v>1668</v>
      </c>
      <c r="BF110" s="1" t="s">
        <v>1669</v>
      </c>
      <c r="CA110" s="1">
        <v>5</v>
      </c>
      <c r="CB110" s="1">
        <v>11</v>
      </c>
      <c r="CC110" s="1" t="s">
        <v>1670</v>
      </c>
      <c r="CD110" s="1">
        <v>5</v>
      </c>
      <c r="CE110" s="1">
        <v>11</v>
      </c>
      <c r="CF110" s="1" t="s">
        <v>1670</v>
      </c>
      <c r="CG110" s="1">
        <v>3</v>
      </c>
      <c r="CH110" s="1">
        <v>12</v>
      </c>
      <c r="CI110" s="1" t="s">
        <v>1464</v>
      </c>
      <c r="CJ110" s="1">
        <v>4</v>
      </c>
      <c r="CK110" s="1">
        <v>8</v>
      </c>
      <c r="CL110" s="1" t="s">
        <v>1246</v>
      </c>
      <c r="CM110" s="1">
        <v>2</v>
      </c>
      <c r="CN110" s="1">
        <v>10</v>
      </c>
      <c r="CO110" s="1" t="s">
        <v>1287</v>
      </c>
      <c r="CP110" s="1">
        <v>0</v>
      </c>
      <c r="CQ110" s="1">
        <v>0</v>
      </c>
    </row>
    <row r="111" spans="1:96" x14ac:dyDescent="0.3">
      <c r="A111" s="1">
        <v>5</v>
      </c>
      <c r="B111" s="1">
        <v>13</v>
      </c>
      <c r="C111" s="1" t="s">
        <v>1447</v>
      </c>
      <c r="D111" s="1">
        <v>13</v>
      </c>
      <c r="F111" s="1" t="s">
        <v>1468</v>
      </c>
      <c r="G111" s="1" t="s">
        <v>57</v>
      </c>
      <c r="H111" s="1" t="s">
        <v>1671</v>
      </c>
      <c r="K111" s="1" t="s">
        <v>1672</v>
      </c>
      <c r="L111" s="1" t="s">
        <v>1673</v>
      </c>
      <c r="M111" s="1" t="s">
        <v>1674</v>
      </c>
      <c r="T111" s="1" t="s">
        <v>1675</v>
      </c>
      <c r="U111" s="1" t="s">
        <v>1676</v>
      </c>
      <c r="X111" s="1" t="s">
        <v>1677</v>
      </c>
      <c r="Y111" s="1" t="s">
        <v>1678</v>
      </c>
      <c r="AB111" s="1" t="s">
        <v>1679</v>
      </c>
      <c r="AD111" s="1" t="s">
        <v>1680</v>
      </c>
      <c r="AF111" s="1" t="s">
        <v>1681</v>
      </c>
      <c r="AT111" s="1" t="s">
        <v>57</v>
      </c>
      <c r="AU111" s="1" t="s">
        <v>1414</v>
      </c>
      <c r="AX111" s="1" t="s">
        <v>1682</v>
      </c>
      <c r="AY111" s="1" t="s">
        <v>1683</v>
      </c>
      <c r="BC111" s="1" t="s">
        <v>1684</v>
      </c>
      <c r="BD111" s="1" t="s">
        <v>1685</v>
      </c>
      <c r="BE111" s="1" t="s">
        <v>1686</v>
      </c>
      <c r="BF111" s="1" t="s">
        <v>1687</v>
      </c>
      <c r="CA111" s="1">
        <v>4</v>
      </c>
      <c r="CB111" s="1">
        <v>12</v>
      </c>
      <c r="CC111" s="1" t="s">
        <v>1637</v>
      </c>
      <c r="CD111" s="1">
        <v>6</v>
      </c>
      <c r="CE111" s="1">
        <v>12</v>
      </c>
      <c r="CF111" s="1" t="s">
        <v>1688</v>
      </c>
      <c r="CG111" s="1">
        <v>3</v>
      </c>
      <c r="CH111" s="1">
        <v>13</v>
      </c>
      <c r="CI111" s="1" t="s">
        <v>1620</v>
      </c>
      <c r="CJ111" s="1">
        <v>3</v>
      </c>
      <c r="CK111" s="1">
        <v>9</v>
      </c>
      <c r="CL111" s="1" t="s">
        <v>1257</v>
      </c>
      <c r="CM111" s="1">
        <v>3</v>
      </c>
      <c r="CN111" s="1">
        <v>10</v>
      </c>
      <c r="CO111" s="1" t="s">
        <v>1497</v>
      </c>
      <c r="CP111" s="1">
        <v>0</v>
      </c>
      <c r="CQ111" s="1">
        <v>0</v>
      </c>
    </row>
    <row r="112" spans="1:96" x14ac:dyDescent="0.3">
      <c r="A112" s="1">
        <v>6</v>
      </c>
      <c r="B112" s="1">
        <v>13</v>
      </c>
      <c r="C112" s="1" t="s">
        <v>1463</v>
      </c>
      <c r="D112" s="1">
        <v>16</v>
      </c>
      <c r="F112" s="1" t="s">
        <v>1468</v>
      </c>
      <c r="G112" s="1" t="s">
        <v>57</v>
      </c>
      <c r="H112" s="1" t="s">
        <v>1689</v>
      </c>
      <c r="I112" s="1" t="s">
        <v>1690</v>
      </c>
      <c r="J112" s="1" t="s">
        <v>1691</v>
      </c>
      <c r="K112" s="1" t="s">
        <v>1692</v>
      </c>
      <c r="L112" s="1" t="s">
        <v>1693</v>
      </c>
      <c r="M112" s="1" t="s">
        <v>1694</v>
      </c>
      <c r="O112" s="1" t="s">
        <v>1695</v>
      </c>
      <c r="T112" s="1" t="s">
        <v>1696</v>
      </c>
      <c r="U112" s="1" t="s">
        <v>1697</v>
      </c>
      <c r="X112" s="1" t="s">
        <v>1698</v>
      </c>
      <c r="Y112" s="1" t="s">
        <v>1699</v>
      </c>
      <c r="AB112" s="1" t="s">
        <v>1700</v>
      </c>
      <c r="AC112" s="1" t="s">
        <v>1701</v>
      </c>
      <c r="AD112" s="1" t="s">
        <v>1702</v>
      </c>
      <c r="AT112" s="1" t="s">
        <v>57</v>
      </c>
      <c r="AU112" s="1" t="s">
        <v>1434</v>
      </c>
      <c r="AX112" s="1" t="s">
        <v>1703</v>
      </c>
      <c r="AY112" s="1" t="s">
        <v>1704</v>
      </c>
      <c r="BC112" s="1" t="s">
        <v>1705</v>
      </c>
      <c r="BD112" s="1" t="s">
        <v>1706</v>
      </c>
      <c r="BE112" s="1" t="s">
        <v>1707</v>
      </c>
      <c r="BF112" s="1" t="s">
        <v>1708</v>
      </c>
      <c r="CA112" s="1">
        <v>5</v>
      </c>
      <c r="CB112" s="1">
        <v>12</v>
      </c>
      <c r="CC112" s="1" t="s">
        <v>1655</v>
      </c>
      <c r="CD112" s="1">
        <v>6</v>
      </c>
      <c r="CE112" s="1">
        <v>11</v>
      </c>
      <c r="CF112" s="1" t="s">
        <v>1709</v>
      </c>
      <c r="CG112" s="1">
        <v>3</v>
      </c>
      <c r="CH112" s="1">
        <v>14</v>
      </c>
      <c r="CI112" s="1" t="s">
        <v>1375</v>
      </c>
      <c r="CJ112" s="1">
        <v>4</v>
      </c>
      <c r="CK112" s="1">
        <v>9</v>
      </c>
      <c r="CL112" s="1" t="s">
        <v>1482</v>
      </c>
      <c r="CM112" s="1">
        <v>5</v>
      </c>
      <c r="CN112" s="1">
        <v>9</v>
      </c>
      <c r="CO112" s="1" t="s">
        <v>1584</v>
      </c>
      <c r="CP112" s="1">
        <v>0</v>
      </c>
      <c r="CQ112" s="1">
        <v>0</v>
      </c>
    </row>
    <row r="113" spans="1:96" x14ac:dyDescent="0.3">
      <c r="A113" s="1">
        <v>2</v>
      </c>
      <c r="B113" s="1">
        <v>14</v>
      </c>
      <c r="C113" s="1" t="s">
        <v>1710</v>
      </c>
      <c r="D113" s="1">
        <v>15</v>
      </c>
      <c r="F113" s="1" t="s">
        <v>1468</v>
      </c>
      <c r="G113" s="1" t="s">
        <v>57</v>
      </c>
      <c r="H113" s="1" t="s">
        <v>1711</v>
      </c>
      <c r="J113" s="1" t="s">
        <v>1712</v>
      </c>
      <c r="M113" s="1" t="s">
        <v>1713</v>
      </c>
      <c r="O113" s="1" t="s">
        <v>1714</v>
      </c>
      <c r="T113" s="1" t="s">
        <v>1715</v>
      </c>
      <c r="U113" s="1" t="s">
        <v>1716</v>
      </c>
      <c r="X113" s="1" t="s">
        <v>1717</v>
      </c>
      <c r="Y113" s="1" t="s">
        <v>1718</v>
      </c>
      <c r="AB113" s="1" t="s">
        <v>1719</v>
      </c>
      <c r="AC113" s="1" t="s">
        <v>1720</v>
      </c>
      <c r="AD113" s="1" t="s">
        <v>1721</v>
      </c>
      <c r="AF113" s="1" t="s">
        <v>1722</v>
      </c>
      <c r="AN113" s="1" t="s">
        <v>1723</v>
      </c>
      <c r="AT113" s="1" t="s">
        <v>57</v>
      </c>
      <c r="AU113" s="1" t="s">
        <v>1724</v>
      </c>
      <c r="AX113" s="1" t="s">
        <v>1725</v>
      </c>
      <c r="AY113" s="1" t="s">
        <v>1726</v>
      </c>
      <c r="BC113" s="1" t="s">
        <v>1727</v>
      </c>
      <c r="BD113" s="1" t="s">
        <v>1728</v>
      </c>
      <c r="BE113" s="1" t="s">
        <v>1729</v>
      </c>
      <c r="BF113" s="1" t="s">
        <v>1730</v>
      </c>
      <c r="CA113" s="1">
        <v>1</v>
      </c>
      <c r="CB113" s="1">
        <v>13</v>
      </c>
      <c r="CC113" s="1" t="s">
        <v>1349</v>
      </c>
      <c r="CD113" s="1">
        <v>7</v>
      </c>
      <c r="CE113" s="1">
        <v>14</v>
      </c>
      <c r="CF113" s="1" t="s">
        <v>1731</v>
      </c>
      <c r="CG113" s="1">
        <v>2</v>
      </c>
      <c r="CH113" s="1">
        <v>14</v>
      </c>
      <c r="CI113" s="1" t="s">
        <v>1362</v>
      </c>
      <c r="CJ113" s="1">
        <v>1</v>
      </c>
      <c r="CK113" s="1">
        <v>10</v>
      </c>
      <c r="CL113" s="1" t="s">
        <v>1272</v>
      </c>
      <c r="CM113" s="1">
        <v>7</v>
      </c>
      <c r="CN113" s="1">
        <v>10</v>
      </c>
      <c r="CO113" s="1" t="s">
        <v>1732</v>
      </c>
      <c r="CP113" s="1">
        <v>1</v>
      </c>
      <c r="CQ113" s="1">
        <v>8</v>
      </c>
      <c r="CR113" s="1" t="s">
        <v>1092</v>
      </c>
    </row>
    <row r="114" spans="1:96" x14ac:dyDescent="0.3">
      <c r="A114" s="1">
        <v>3</v>
      </c>
      <c r="B114" s="1">
        <v>14</v>
      </c>
      <c r="C114" s="1" t="s">
        <v>1733</v>
      </c>
      <c r="D114" s="1">
        <v>16</v>
      </c>
      <c r="F114" s="1" t="s">
        <v>1468</v>
      </c>
      <c r="G114" s="1" t="s">
        <v>57</v>
      </c>
      <c r="H114" s="1" t="s">
        <v>1734</v>
      </c>
      <c r="I114" s="1" t="s">
        <v>1735</v>
      </c>
      <c r="J114" s="1" t="s">
        <v>1736</v>
      </c>
      <c r="M114" s="1" t="s">
        <v>1737</v>
      </c>
      <c r="O114" s="1" t="s">
        <v>1738</v>
      </c>
      <c r="T114" s="1" t="s">
        <v>1739</v>
      </c>
      <c r="U114" s="1" t="s">
        <v>1740</v>
      </c>
      <c r="X114" s="1" t="s">
        <v>1741</v>
      </c>
      <c r="Y114" s="1" t="s">
        <v>1742</v>
      </c>
      <c r="AB114" s="1" t="s">
        <v>1743</v>
      </c>
      <c r="AC114" s="1" t="s">
        <v>1744</v>
      </c>
      <c r="AD114" s="1" t="s">
        <v>1745</v>
      </c>
      <c r="AF114" s="1" t="s">
        <v>1746</v>
      </c>
      <c r="AN114" s="1" t="s">
        <v>1747</v>
      </c>
      <c r="AT114" s="1" t="s">
        <v>57</v>
      </c>
      <c r="AU114" s="1" t="s">
        <v>1748</v>
      </c>
      <c r="AX114" s="1" t="s">
        <v>1749</v>
      </c>
      <c r="AY114" s="1" t="s">
        <v>1750</v>
      </c>
      <c r="BC114" s="1" t="s">
        <v>1751</v>
      </c>
      <c r="BD114" s="1" t="s">
        <v>1752</v>
      </c>
      <c r="BE114" s="1" t="s">
        <v>1753</v>
      </c>
      <c r="BF114" s="1" t="s">
        <v>1754</v>
      </c>
      <c r="CA114" s="1">
        <v>2</v>
      </c>
      <c r="CB114" s="1">
        <v>13</v>
      </c>
      <c r="CC114" s="1" t="s">
        <v>1603</v>
      </c>
      <c r="CD114" s="1">
        <v>7</v>
      </c>
      <c r="CE114" s="1">
        <v>13</v>
      </c>
      <c r="CF114" s="1" t="s">
        <v>1755</v>
      </c>
      <c r="CG114" s="1">
        <v>2</v>
      </c>
      <c r="CH114" s="1">
        <v>15</v>
      </c>
      <c r="CI114" s="1" t="s">
        <v>1756</v>
      </c>
      <c r="CJ114" s="1">
        <v>2</v>
      </c>
      <c r="CK114" s="1">
        <v>10</v>
      </c>
      <c r="CL114" s="1" t="s">
        <v>1287</v>
      </c>
      <c r="CM114" s="1">
        <v>7</v>
      </c>
      <c r="CN114" s="1">
        <v>11</v>
      </c>
      <c r="CO114" s="1" t="s">
        <v>1757</v>
      </c>
      <c r="CP114" s="1">
        <v>3</v>
      </c>
      <c r="CQ114" s="1">
        <v>8</v>
      </c>
      <c r="CR114" s="1" t="s">
        <v>1234</v>
      </c>
    </row>
    <row r="115" spans="1:96" x14ac:dyDescent="0.3">
      <c r="A115" s="1">
        <v>2</v>
      </c>
      <c r="B115" s="1">
        <v>15</v>
      </c>
      <c r="C115" s="1" t="s">
        <v>1758</v>
      </c>
      <c r="D115" s="1">
        <v>12</v>
      </c>
      <c r="F115" s="1" t="s">
        <v>1759</v>
      </c>
      <c r="G115" s="1" t="s">
        <v>57</v>
      </c>
      <c r="H115" s="1" t="s">
        <v>1760</v>
      </c>
      <c r="I115" s="1" t="s">
        <v>1761</v>
      </c>
      <c r="J115" s="1" t="s">
        <v>1762</v>
      </c>
      <c r="O115" s="1" t="s">
        <v>1763</v>
      </c>
      <c r="T115" s="1" t="s">
        <v>1764</v>
      </c>
      <c r="U115" s="1" t="s">
        <v>1765</v>
      </c>
      <c r="X115" s="1" t="s">
        <v>1766</v>
      </c>
      <c r="Y115" s="1" t="s">
        <v>1767</v>
      </c>
      <c r="AF115" s="1" t="s">
        <v>1768</v>
      </c>
      <c r="AN115" s="1" t="s">
        <v>1769</v>
      </c>
      <c r="AT115" s="1" t="s">
        <v>57</v>
      </c>
      <c r="AU115" s="1" t="s">
        <v>1770</v>
      </c>
      <c r="AX115" s="1" t="s">
        <v>1771</v>
      </c>
      <c r="AY115" s="1" t="s">
        <v>1772</v>
      </c>
      <c r="BC115" s="1" t="s">
        <v>1773</v>
      </c>
      <c r="BE115" s="1" t="s">
        <v>1774</v>
      </c>
      <c r="CA115" s="1">
        <v>1</v>
      </c>
      <c r="CB115" s="1">
        <v>14</v>
      </c>
      <c r="CC115" s="1" t="s">
        <v>1466</v>
      </c>
      <c r="CD115" s="1">
        <v>7</v>
      </c>
      <c r="CE115" s="1">
        <v>12</v>
      </c>
      <c r="CF115" s="1" t="s">
        <v>1775</v>
      </c>
      <c r="CG115" s="1">
        <v>4</v>
      </c>
      <c r="CH115" s="1">
        <v>15</v>
      </c>
      <c r="CI115" s="1" t="s">
        <v>1776</v>
      </c>
      <c r="CJ115" s="1">
        <v>3</v>
      </c>
      <c r="CK115" s="1">
        <v>10</v>
      </c>
      <c r="CL115" s="1" t="s">
        <v>1497</v>
      </c>
      <c r="CM115" s="1">
        <v>8</v>
      </c>
      <c r="CN115" s="1">
        <v>9</v>
      </c>
      <c r="CO115" s="1" t="s">
        <v>1777</v>
      </c>
      <c r="CP115" s="1">
        <v>3</v>
      </c>
      <c r="CQ115" s="1">
        <v>9</v>
      </c>
      <c r="CR115" s="1" t="s">
        <v>1257</v>
      </c>
    </row>
    <row r="116" spans="1:96" x14ac:dyDescent="0.3">
      <c r="A116" s="1">
        <v>3</v>
      </c>
      <c r="B116" s="1">
        <v>15</v>
      </c>
      <c r="C116" s="1" t="s">
        <v>1778</v>
      </c>
      <c r="D116" s="1">
        <v>12</v>
      </c>
      <c r="F116" s="1" t="s">
        <v>1759</v>
      </c>
      <c r="G116" s="1" t="s">
        <v>57</v>
      </c>
      <c r="H116" s="1" t="s">
        <v>1779</v>
      </c>
      <c r="I116" s="1" t="s">
        <v>1780</v>
      </c>
      <c r="J116" s="1" t="s">
        <v>1781</v>
      </c>
      <c r="O116" s="1" t="s">
        <v>1782</v>
      </c>
      <c r="T116" s="1" t="s">
        <v>1783</v>
      </c>
      <c r="U116" s="1" t="s">
        <v>1784</v>
      </c>
      <c r="X116" s="1" t="s">
        <v>1785</v>
      </c>
      <c r="Y116" s="1" t="s">
        <v>1786</v>
      </c>
      <c r="AF116" s="1" t="s">
        <v>1787</v>
      </c>
      <c r="AN116" s="1" t="s">
        <v>1788</v>
      </c>
      <c r="AT116" s="1" t="s">
        <v>57</v>
      </c>
      <c r="AU116" s="1" t="s">
        <v>1789</v>
      </c>
      <c r="AX116" s="1" t="s">
        <v>1790</v>
      </c>
      <c r="AY116" s="1" t="s">
        <v>1791</v>
      </c>
      <c r="BD116" s="1" t="s">
        <v>1792</v>
      </c>
      <c r="BF116" s="1" t="s">
        <v>1793</v>
      </c>
      <c r="CA116" s="1">
        <v>2</v>
      </c>
      <c r="CB116" s="1">
        <v>14</v>
      </c>
      <c r="CC116" s="1" t="s">
        <v>1362</v>
      </c>
      <c r="CD116" s="1">
        <v>8</v>
      </c>
      <c r="CE116" s="1">
        <v>14</v>
      </c>
      <c r="CF116" s="1" t="s">
        <v>1794</v>
      </c>
      <c r="CG116" s="1">
        <v>1</v>
      </c>
      <c r="CH116" s="1">
        <v>16</v>
      </c>
      <c r="CI116" s="1" t="s">
        <v>1795</v>
      </c>
      <c r="CJ116" s="1">
        <v>1</v>
      </c>
      <c r="CK116" s="1">
        <v>11</v>
      </c>
      <c r="CL116" s="1" t="s">
        <v>1301</v>
      </c>
      <c r="CM116" s="1">
        <v>9</v>
      </c>
      <c r="CN116" s="1">
        <v>9</v>
      </c>
      <c r="CO116" s="1" t="s">
        <v>1796</v>
      </c>
      <c r="CP116" s="1">
        <v>3</v>
      </c>
      <c r="CQ116" s="1">
        <v>10</v>
      </c>
      <c r="CR116" s="1" t="s">
        <v>1497</v>
      </c>
    </row>
    <row r="117" spans="1:96" x14ac:dyDescent="0.3">
      <c r="A117" s="1">
        <v>2</v>
      </c>
      <c r="B117" s="1">
        <v>16</v>
      </c>
      <c r="C117" s="1" t="s">
        <v>1797</v>
      </c>
      <c r="D117" s="1">
        <v>14</v>
      </c>
      <c r="F117" s="1" t="s">
        <v>1759</v>
      </c>
      <c r="G117" s="1" t="s">
        <v>57</v>
      </c>
      <c r="H117" s="1" t="s">
        <v>1798</v>
      </c>
      <c r="I117" s="1" t="s">
        <v>1799</v>
      </c>
      <c r="J117" s="1" t="s">
        <v>1800</v>
      </c>
      <c r="K117" s="1" t="s">
        <v>1801</v>
      </c>
      <c r="L117" s="1" t="s">
        <v>1802</v>
      </c>
      <c r="O117" s="1" t="s">
        <v>1803</v>
      </c>
      <c r="T117" s="1" t="s">
        <v>1804</v>
      </c>
      <c r="U117" s="1" t="s">
        <v>1805</v>
      </c>
      <c r="X117" s="1" t="s">
        <v>1806</v>
      </c>
      <c r="Y117" s="1" t="s">
        <v>1807</v>
      </c>
      <c r="AB117" s="1" t="s">
        <v>1808</v>
      </c>
      <c r="AN117" s="1" t="s">
        <v>1809</v>
      </c>
      <c r="AT117" s="1" t="s">
        <v>57</v>
      </c>
      <c r="AU117" s="1" t="s">
        <v>1810</v>
      </c>
      <c r="AX117" s="1" t="s">
        <v>1811</v>
      </c>
      <c r="AY117" s="1" t="s">
        <v>1812</v>
      </c>
      <c r="BC117" s="1" t="s">
        <v>1813</v>
      </c>
      <c r="BE117" s="1" t="s">
        <v>1814</v>
      </c>
      <c r="CA117" s="1">
        <v>1</v>
      </c>
      <c r="CB117" s="1">
        <v>15</v>
      </c>
      <c r="CC117" s="1" t="s">
        <v>1815</v>
      </c>
      <c r="CD117" s="1">
        <v>8</v>
      </c>
      <c r="CE117" s="1">
        <v>13</v>
      </c>
      <c r="CF117" s="1" t="s">
        <v>1816</v>
      </c>
      <c r="CG117" s="1">
        <v>2</v>
      </c>
      <c r="CH117" s="1">
        <v>16</v>
      </c>
      <c r="CI117" s="1" t="s">
        <v>1817</v>
      </c>
      <c r="CJ117" s="1">
        <v>2</v>
      </c>
      <c r="CK117" s="1">
        <v>11</v>
      </c>
      <c r="CL117" s="1" t="s">
        <v>1318</v>
      </c>
      <c r="CM117" s="1">
        <v>8</v>
      </c>
      <c r="CN117" s="1">
        <v>8</v>
      </c>
      <c r="CO117" s="1" t="s">
        <v>1818</v>
      </c>
      <c r="CP117" s="1">
        <v>1</v>
      </c>
      <c r="CQ117" s="1">
        <v>10</v>
      </c>
      <c r="CR117" s="1" t="s">
        <v>1272</v>
      </c>
    </row>
    <row r="118" spans="1:96" x14ac:dyDescent="0.3">
      <c r="A118" s="1">
        <v>3</v>
      </c>
      <c r="B118" s="1">
        <v>16</v>
      </c>
      <c r="C118" s="1" t="s">
        <v>1819</v>
      </c>
      <c r="D118" s="1">
        <v>14</v>
      </c>
      <c r="F118" s="1" t="s">
        <v>1759</v>
      </c>
      <c r="G118" s="1" t="s">
        <v>57</v>
      </c>
      <c r="H118" s="1" t="s">
        <v>1820</v>
      </c>
      <c r="I118" s="1" t="s">
        <v>1821</v>
      </c>
      <c r="K118" s="1" t="s">
        <v>1822</v>
      </c>
      <c r="L118" s="1" t="s">
        <v>1823</v>
      </c>
      <c r="M118" s="1" t="s">
        <v>1824</v>
      </c>
      <c r="O118" s="1" t="s">
        <v>1825</v>
      </c>
      <c r="T118" s="1" t="s">
        <v>1826</v>
      </c>
      <c r="U118" s="1" t="s">
        <v>1827</v>
      </c>
      <c r="X118" s="1" t="s">
        <v>1828</v>
      </c>
      <c r="Y118" s="1" t="s">
        <v>1829</v>
      </c>
      <c r="AB118" s="1" t="s">
        <v>1830</v>
      </c>
      <c r="AN118" s="1" t="s">
        <v>1831</v>
      </c>
      <c r="AT118" s="1" t="s">
        <v>57</v>
      </c>
      <c r="AU118" s="1" t="s">
        <v>1832</v>
      </c>
      <c r="AX118" s="1" t="s">
        <v>1833</v>
      </c>
      <c r="AY118" s="1" t="s">
        <v>1834</v>
      </c>
      <c r="BD118" s="1" t="s">
        <v>1835</v>
      </c>
      <c r="BF118" s="1" t="s">
        <v>1836</v>
      </c>
      <c r="CA118" s="1">
        <v>2</v>
      </c>
      <c r="CB118" s="1">
        <v>15</v>
      </c>
      <c r="CC118" s="1" t="s">
        <v>1756</v>
      </c>
      <c r="CD118" s="1">
        <v>8</v>
      </c>
      <c r="CE118" s="1">
        <v>12</v>
      </c>
      <c r="CF118" s="1" t="s">
        <v>1837</v>
      </c>
      <c r="CG118" s="1">
        <v>3</v>
      </c>
      <c r="CH118" s="1">
        <v>16</v>
      </c>
      <c r="CI118" s="1" t="s">
        <v>1838</v>
      </c>
      <c r="CJ118" s="1">
        <v>3</v>
      </c>
      <c r="CK118" s="1">
        <v>11</v>
      </c>
      <c r="CL118" s="1" t="s">
        <v>1433</v>
      </c>
      <c r="CM118" s="1">
        <v>7</v>
      </c>
      <c r="CN118" s="1">
        <v>9</v>
      </c>
      <c r="CO118" s="1" t="s">
        <v>1839</v>
      </c>
      <c r="CP118" s="1">
        <v>2</v>
      </c>
      <c r="CQ118" s="1">
        <v>10</v>
      </c>
      <c r="CR118" s="1" t="s">
        <v>1287</v>
      </c>
    </row>
    <row r="119" spans="1:96" x14ac:dyDescent="0.3">
      <c r="A119" s="1">
        <v>2</v>
      </c>
      <c r="B119" s="1">
        <v>17</v>
      </c>
      <c r="C119" s="1" t="s">
        <v>1840</v>
      </c>
      <c r="D119" s="1">
        <v>13</v>
      </c>
      <c r="F119" s="1" t="s">
        <v>1759</v>
      </c>
      <c r="G119" s="1" t="s">
        <v>231</v>
      </c>
      <c r="H119" s="1" t="s">
        <v>1841</v>
      </c>
      <c r="K119" s="1" t="s">
        <v>1842</v>
      </c>
      <c r="M119" s="1" t="s">
        <v>1843</v>
      </c>
      <c r="O119" s="1" t="s">
        <v>1844</v>
      </c>
      <c r="T119" s="1" t="s">
        <v>1845</v>
      </c>
      <c r="U119" s="1" t="s">
        <v>1846</v>
      </c>
      <c r="X119" s="1" t="s">
        <v>1847</v>
      </c>
      <c r="Y119" s="1" t="s">
        <v>1848</v>
      </c>
      <c r="AB119" s="1" t="s">
        <v>1849</v>
      </c>
      <c r="AD119" s="1" t="s">
        <v>1850</v>
      </c>
      <c r="AN119" s="1" t="s">
        <v>1851</v>
      </c>
      <c r="AT119" s="1" t="s">
        <v>57</v>
      </c>
      <c r="AU119" s="1" t="s">
        <v>1852</v>
      </c>
      <c r="AX119" s="1" t="s">
        <v>1853</v>
      </c>
      <c r="AY119" s="1" t="s">
        <v>1854</v>
      </c>
      <c r="BC119" s="1" t="s">
        <v>1855</v>
      </c>
      <c r="BD119" s="1" t="s">
        <v>1856</v>
      </c>
      <c r="BE119" s="1" t="s">
        <v>1857</v>
      </c>
      <c r="BF119" s="1" t="s">
        <v>1858</v>
      </c>
      <c r="CA119" s="1">
        <v>1</v>
      </c>
      <c r="CB119" s="1">
        <v>16</v>
      </c>
      <c r="CC119" s="1" t="s">
        <v>1795</v>
      </c>
      <c r="CD119" s="1">
        <v>9</v>
      </c>
      <c r="CE119" s="1">
        <v>14</v>
      </c>
      <c r="CF119" s="1" t="s">
        <v>1859</v>
      </c>
      <c r="CG119" s="1">
        <v>4</v>
      </c>
      <c r="CH119" s="1">
        <v>16</v>
      </c>
      <c r="CI119" s="1" t="s">
        <v>1860</v>
      </c>
      <c r="CJ119" s="1">
        <v>2</v>
      </c>
      <c r="CK119" s="1">
        <v>12</v>
      </c>
      <c r="CL119" s="1" t="s">
        <v>1432</v>
      </c>
      <c r="CM119" s="1">
        <v>8</v>
      </c>
      <c r="CN119" s="1">
        <v>10</v>
      </c>
      <c r="CO119" s="1" t="s">
        <v>1861</v>
      </c>
      <c r="CP119" s="1">
        <v>2</v>
      </c>
      <c r="CQ119" s="1">
        <v>11</v>
      </c>
      <c r="CR119" s="1" t="s">
        <v>1318</v>
      </c>
    </row>
    <row r="120" spans="1:96" x14ac:dyDescent="0.3">
      <c r="A120" s="1">
        <v>3</v>
      </c>
      <c r="B120" s="1">
        <v>17</v>
      </c>
      <c r="C120" s="1" t="s">
        <v>1862</v>
      </c>
      <c r="D120" s="1">
        <v>16</v>
      </c>
      <c r="F120" s="1" t="s">
        <v>1759</v>
      </c>
      <c r="G120" s="1" t="s">
        <v>57</v>
      </c>
      <c r="H120" s="1" t="s">
        <v>1863</v>
      </c>
      <c r="I120" s="1" t="s">
        <v>1864</v>
      </c>
      <c r="J120" s="1" t="s">
        <v>1865</v>
      </c>
      <c r="K120" s="1" t="s">
        <v>1866</v>
      </c>
      <c r="M120" s="1" t="s">
        <v>1867</v>
      </c>
      <c r="O120" s="1" t="s">
        <v>1868</v>
      </c>
      <c r="T120" s="1" t="s">
        <v>1869</v>
      </c>
      <c r="U120" s="1" t="s">
        <v>1870</v>
      </c>
      <c r="X120" s="1" t="s">
        <v>1871</v>
      </c>
      <c r="Y120" s="1" t="s">
        <v>1872</v>
      </c>
      <c r="AB120" s="1" t="s">
        <v>1873</v>
      </c>
      <c r="AC120" s="1" t="s">
        <v>1874</v>
      </c>
      <c r="AD120" s="1" t="s">
        <v>1875</v>
      </c>
      <c r="AN120" s="1" t="s">
        <v>1876</v>
      </c>
      <c r="AT120" s="1" t="s">
        <v>57</v>
      </c>
      <c r="AU120" s="1" t="s">
        <v>1877</v>
      </c>
      <c r="AX120" s="1" t="s">
        <v>1878</v>
      </c>
      <c r="AY120" s="1" t="s">
        <v>1879</v>
      </c>
      <c r="BC120" s="1" t="s">
        <v>1880</v>
      </c>
      <c r="BD120" s="1" t="s">
        <v>1881</v>
      </c>
      <c r="BE120" s="1" t="s">
        <v>1882</v>
      </c>
      <c r="BF120" s="1" t="s">
        <v>1883</v>
      </c>
      <c r="CA120" s="1">
        <v>2</v>
      </c>
      <c r="CB120" s="1">
        <v>16</v>
      </c>
      <c r="CC120" s="1" t="s">
        <v>1817</v>
      </c>
      <c r="CD120" s="1">
        <v>9</v>
      </c>
      <c r="CE120" s="1">
        <v>13</v>
      </c>
      <c r="CF120" s="1" t="s">
        <v>1884</v>
      </c>
      <c r="CG120" s="1">
        <v>2</v>
      </c>
      <c r="CH120" s="1">
        <v>17</v>
      </c>
      <c r="CI120" s="1" t="s">
        <v>1885</v>
      </c>
      <c r="CJ120" s="1">
        <v>3</v>
      </c>
      <c r="CK120" s="1">
        <v>12</v>
      </c>
      <c r="CL120" s="1" t="s">
        <v>1464</v>
      </c>
      <c r="CM120" s="1">
        <v>9</v>
      </c>
      <c r="CN120" s="1">
        <v>8</v>
      </c>
      <c r="CO120" s="1" t="s">
        <v>1886</v>
      </c>
      <c r="CP120" s="1">
        <v>2</v>
      </c>
      <c r="CQ120" s="1">
        <v>12</v>
      </c>
      <c r="CR120" s="1" t="s">
        <v>1432</v>
      </c>
    </row>
    <row r="121" spans="1:96" x14ac:dyDescent="0.3">
      <c r="A121" s="1">
        <v>3</v>
      </c>
      <c r="B121" s="1">
        <v>18</v>
      </c>
      <c r="C121" s="1" t="s">
        <v>1887</v>
      </c>
      <c r="D121" s="1">
        <v>15</v>
      </c>
      <c r="F121" s="1" t="s">
        <v>1759</v>
      </c>
      <c r="G121" s="1" t="s">
        <v>57</v>
      </c>
      <c r="H121" s="1" t="s">
        <v>1888</v>
      </c>
      <c r="I121" s="1" t="s">
        <v>1889</v>
      </c>
      <c r="J121" s="1" t="s">
        <v>1890</v>
      </c>
      <c r="L121" s="1" t="s">
        <v>1891</v>
      </c>
      <c r="M121" s="1" t="s">
        <v>1892</v>
      </c>
      <c r="T121" s="1" t="s">
        <v>1893</v>
      </c>
      <c r="U121" s="1" t="s">
        <v>1894</v>
      </c>
      <c r="X121" s="1" t="s">
        <v>1895</v>
      </c>
      <c r="Y121" s="1" t="s">
        <v>1896</v>
      </c>
      <c r="AB121" s="1" t="s">
        <v>1897</v>
      </c>
      <c r="AC121" s="1" t="s">
        <v>1898</v>
      </c>
      <c r="AD121" s="1" t="s">
        <v>1899</v>
      </c>
      <c r="AN121" s="1" t="s">
        <v>1900</v>
      </c>
      <c r="AT121" s="1" t="s">
        <v>57</v>
      </c>
      <c r="AU121" s="1" t="s">
        <v>1901</v>
      </c>
      <c r="AX121" s="1" t="s">
        <v>1902</v>
      </c>
      <c r="AY121" s="1" t="s">
        <v>1903</v>
      </c>
      <c r="BC121" s="1" t="s">
        <v>1904</v>
      </c>
      <c r="BD121" s="1" t="s">
        <v>1905</v>
      </c>
      <c r="BE121" s="1" t="s">
        <v>1906</v>
      </c>
      <c r="BF121" s="1" t="s">
        <v>1907</v>
      </c>
      <c r="CA121" s="1">
        <v>2</v>
      </c>
      <c r="CB121" s="1">
        <v>17</v>
      </c>
      <c r="CC121" s="1" t="s">
        <v>1885</v>
      </c>
      <c r="CD121" s="1">
        <v>9</v>
      </c>
      <c r="CE121" s="1">
        <v>12</v>
      </c>
      <c r="CF121" s="1" t="s">
        <v>1908</v>
      </c>
      <c r="CG121" s="1">
        <v>4</v>
      </c>
      <c r="CH121" s="1">
        <v>17</v>
      </c>
      <c r="CI121" s="1" t="s">
        <v>1909</v>
      </c>
      <c r="CJ121" s="1">
        <v>4</v>
      </c>
      <c r="CK121" s="1">
        <v>12</v>
      </c>
      <c r="CL121" s="1" t="s">
        <v>1637</v>
      </c>
      <c r="CM121" s="1">
        <v>8</v>
      </c>
      <c r="CN121" s="1">
        <v>11</v>
      </c>
      <c r="CO121" s="1" t="s">
        <v>1910</v>
      </c>
      <c r="CP121" s="1">
        <v>1</v>
      </c>
      <c r="CQ121" s="1">
        <v>12</v>
      </c>
      <c r="CR121" s="1" t="s">
        <v>1334</v>
      </c>
    </row>
    <row r="122" spans="1:96" x14ac:dyDescent="0.3">
      <c r="A122" s="1">
        <v>4</v>
      </c>
      <c r="B122" s="1">
        <v>14</v>
      </c>
      <c r="C122" s="1" t="s">
        <v>1724</v>
      </c>
      <c r="D122" s="1">
        <v>15</v>
      </c>
      <c r="F122" s="1" t="s">
        <v>1759</v>
      </c>
      <c r="G122" s="1" t="s">
        <v>57</v>
      </c>
      <c r="H122" s="1" t="s">
        <v>1911</v>
      </c>
      <c r="I122" s="1" t="s">
        <v>1912</v>
      </c>
      <c r="J122" s="1" t="s">
        <v>1913</v>
      </c>
      <c r="L122" s="1" t="s">
        <v>1914</v>
      </c>
      <c r="M122" s="1" t="s">
        <v>1915</v>
      </c>
      <c r="T122" s="1" t="s">
        <v>1916</v>
      </c>
      <c r="U122" s="1" t="s">
        <v>1917</v>
      </c>
      <c r="X122" s="1" t="s">
        <v>1918</v>
      </c>
      <c r="Y122" s="1" t="s">
        <v>1919</v>
      </c>
      <c r="AB122" s="1" t="s">
        <v>1920</v>
      </c>
      <c r="AC122" s="1" t="s">
        <v>1921</v>
      </c>
      <c r="AD122" s="1" t="s">
        <v>1922</v>
      </c>
      <c r="AN122" s="1" t="s">
        <v>1923</v>
      </c>
      <c r="AT122" s="1" t="s">
        <v>57</v>
      </c>
      <c r="AU122" s="1" t="s">
        <v>1450</v>
      </c>
      <c r="AX122" s="1" t="s">
        <v>1924</v>
      </c>
      <c r="AY122" s="1" t="s">
        <v>1925</v>
      </c>
      <c r="BC122" s="1" t="s">
        <v>1926</v>
      </c>
      <c r="BD122" s="1" t="s">
        <v>1927</v>
      </c>
      <c r="BE122" s="1" t="s">
        <v>1928</v>
      </c>
      <c r="BF122" s="1" t="s">
        <v>1929</v>
      </c>
      <c r="CA122" s="1">
        <v>3</v>
      </c>
      <c r="CB122" s="1">
        <v>13</v>
      </c>
      <c r="CC122" s="1" t="s">
        <v>1620</v>
      </c>
      <c r="CD122" s="1">
        <v>6</v>
      </c>
      <c r="CE122" s="1">
        <v>10</v>
      </c>
      <c r="CF122" s="1" t="s">
        <v>1930</v>
      </c>
      <c r="CG122" s="1">
        <v>5</v>
      </c>
      <c r="CH122" s="1">
        <v>14</v>
      </c>
      <c r="CI122" s="1" t="s">
        <v>1413</v>
      </c>
      <c r="CJ122" s="1">
        <v>5</v>
      </c>
      <c r="CK122" s="1">
        <v>9</v>
      </c>
      <c r="CL122" s="1" t="s">
        <v>1584</v>
      </c>
      <c r="CM122" s="1">
        <v>9</v>
      </c>
      <c r="CN122" s="1">
        <v>10</v>
      </c>
      <c r="CO122" s="1" t="s">
        <v>1931</v>
      </c>
      <c r="CP122" s="1">
        <v>4</v>
      </c>
      <c r="CQ122" s="1">
        <v>11</v>
      </c>
      <c r="CR122" s="1" t="s">
        <v>1449</v>
      </c>
    </row>
    <row r="123" spans="1:96" x14ac:dyDescent="0.3">
      <c r="A123" s="1">
        <v>5</v>
      </c>
      <c r="B123" s="1">
        <v>14</v>
      </c>
      <c r="C123" s="1" t="s">
        <v>1748</v>
      </c>
      <c r="D123" s="1">
        <v>15</v>
      </c>
      <c r="F123" s="1" t="s">
        <v>1759</v>
      </c>
      <c r="G123" s="1" t="s">
        <v>57</v>
      </c>
      <c r="H123" s="1" t="s">
        <v>1932</v>
      </c>
      <c r="I123" s="1" t="s">
        <v>1933</v>
      </c>
      <c r="J123" s="1" t="s">
        <v>1934</v>
      </c>
      <c r="L123" s="1" t="s">
        <v>1935</v>
      </c>
      <c r="M123" s="1" t="s">
        <v>1936</v>
      </c>
      <c r="O123" s="1" t="s">
        <v>1937</v>
      </c>
      <c r="T123" s="1" t="s">
        <v>1938</v>
      </c>
      <c r="U123" s="1" t="s">
        <v>1939</v>
      </c>
      <c r="X123" s="1" t="s">
        <v>1940</v>
      </c>
      <c r="Y123" s="1" t="s">
        <v>1941</v>
      </c>
      <c r="AE123" s="1" t="s">
        <v>1942</v>
      </c>
      <c r="AF123" s="1" t="s">
        <v>1943</v>
      </c>
      <c r="AN123" s="1" t="s">
        <v>1944</v>
      </c>
      <c r="AT123" s="1" t="s">
        <v>57</v>
      </c>
      <c r="AU123" s="1" t="s">
        <v>1710</v>
      </c>
      <c r="AX123" s="1" t="s">
        <v>1945</v>
      </c>
      <c r="AY123" s="1" t="s">
        <v>1946</v>
      </c>
      <c r="BC123" s="1" t="s">
        <v>1947</v>
      </c>
      <c r="BD123" s="1" t="s">
        <v>1948</v>
      </c>
      <c r="BE123" s="1" t="s">
        <v>1949</v>
      </c>
      <c r="BF123" s="1" t="s">
        <v>1950</v>
      </c>
      <c r="CA123" s="1">
        <v>4</v>
      </c>
      <c r="CB123" s="1">
        <v>13</v>
      </c>
      <c r="CC123" s="1" t="s">
        <v>1400</v>
      </c>
      <c r="CD123" s="1">
        <v>7</v>
      </c>
      <c r="CE123" s="1">
        <v>11</v>
      </c>
      <c r="CF123" s="1" t="s">
        <v>1757</v>
      </c>
      <c r="CG123" s="1">
        <v>5</v>
      </c>
      <c r="CH123" s="1">
        <v>15</v>
      </c>
      <c r="CI123" s="1" t="s">
        <v>1951</v>
      </c>
      <c r="CJ123" s="1">
        <v>6</v>
      </c>
      <c r="CK123" s="1">
        <v>9</v>
      </c>
      <c r="CL123" s="1" t="s">
        <v>1952</v>
      </c>
      <c r="CM123" s="1">
        <v>10</v>
      </c>
      <c r="CN123" s="1">
        <v>8</v>
      </c>
      <c r="CO123" s="1" t="s">
        <v>1953</v>
      </c>
      <c r="CP123" s="1">
        <v>5</v>
      </c>
      <c r="CQ123" s="1">
        <v>11</v>
      </c>
      <c r="CR123" s="1" t="s">
        <v>1670</v>
      </c>
    </row>
    <row r="124" spans="1:96" x14ac:dyDescent="0.3">
      <c r="A124" s="1">
        <v>4</v>
      </c>
      <c r="B124" s="1">
        <v>15</v>
      </c>
      <c r="C124" s="1" t="s">
        <v>1770</v>
      </c>
      <c r="D124" s="1">
        <v>14</v>
      </c>
      <c r="F124" s="1" t="s">
        <v>1759</v>
      </c>
      <c r="G124" s="1" t="s">
        <v>57</v>
      </c>
      <c r="H124" s="1" t="s">
        <v>1954</v>
      </c>
      <c r="I124" s="1" t="s">
        <v>1955</v>
      </c>
      <c r="J124" s="1" t="s">
        <v>1956</v>
      </c>
      <c r="L124" s="1" t="s">
        <v>1957</v>
      </c>
      <c r="M124" s="1" t="s">
        <v>1958</v>
      </c>
      <c r="O124" s="1" t="s">
        <v>1959</v>
      </c>
      <c r="T124" s="1" t="s">
        <v>1960</v>
      </c>
      <c r="U124" s="1" t="s">
        <v>1961</v>
      </c>
      <c r="X124" s="1" t="s">
        <v>1962</v>
      </c>
      <c r="Y124" s="1" t="s">
        <v>1963</v>
      </c>
      <c r="AE124" s="1" t="s">
        <v>1964</v>
      </c>
      <c r="AN124" s="1" t="s">
        <v>1965</v>
      </c>
      <c r="AT124" s="1" t="s">
        <v>57</v>
      </c>
      <c r="AU124" s="1" t="s">
        <v>1733</v>
      </c>
      <c r="AX124" s="1" t="s">
        <v>1966</v>
      </c>
      <c r="AY124" s="1" t="s">
        <v>1967</v>
      </c>
      <c r="BC124" s="1" t="s">
        <v>1968</v>
      </c>
      <c r="BD124" s="1" t="s">
        <v>1969</v>
      </c>
      <c r="BE124" s="1" t="s">
        <v>1970</v>
      </c>
      <c r="BF124" s="1" t="s">
        <v>1971</v>
      </c>
      <c r="CA124" s="1">
        <v>3</v>
      </c>
      <c r="CB124" s="1">
        <v>14</v>
      </c>
      <c r="CC124" s="1" t="s">
        <v>1375</v>
      </c>
      <c r="CD124" s="1">
        <v>7</v>
      </c>
      <c r="CE124" s="1">
        <v>10</v>
      </c>
      <c r="CF124" s="1" t="s">
        <v>1732</v>
      </c>
      <c r="CG124" s="1">
        <v>6</v>
      </c>
      <c r="CH124" s="1">
        <v>15</v>
      </c>
      <c r="CI124" s="1" t="s">
        <v>1972</v>
      </c>
      <c r="CJ124" s="1">
        <v>7</v>
      </c>
      <c r="CK124" s="1">
        <v>9</v>
      </c>
      <c r="CL124" s="1" t="s">
        <v>1839</v>
      </c>
      <c r="CM124" s="1">
        <v>9</v>
      </c>
      <c r="CN124" s="1">
        <v>11</v>
      </c>
      <c r="CO124" s="1" t="s">
        <v>1973</v>
      </c>
      <c r="CP124" s="1">
        <v>6</v>
      </c>
      <c r="CQ124" s="1">
        <v>11</v>
      </c>
      <c r="CR124" s="1" t="s">
        <v>1709</v>
      </c>
    </row>
    <row r="125" spans="1:96" x14ac:dyDescent="0.3">
      <c r="A125" s="1">
        <v>4</v>
      </c>
      <c r="B125" s="1">
        <v>16</v>
      </c>
      <c r="C125" s="1" t="s">
        <v>1789</v>
      </c>
      <c r="D125" s="1">
        <v>15</v>
      </c>
      <c r="F125" s="1" t="s">
        <v>1759</v>
      </c>
      <c r="G125" s="1" t="s">
        <v>57</v>
      </c>
      <c r="H125" s="1" t="s">
        <v>1974</v>
      </c>
      <c r="I125" s="1" t="s">
        <v>1975</v>
      </c>
      <c r="J125" s="1" t="s">
        <v>1976</v>
      </c>
      <c r="K125" s="1" t="s">
        <v>1977</v>
      </c>
      <c r="M125" s="1" t="s">
        <v>1978</v>
      </c>
      <c r="O125" s="1" t="s">
        <v>1979</v>
      </c>
      <c r="T125" s="1" t="s">
        <v>1980</v>
      </c>
      <c r="U125" s="1" t="s">
        <v>1981</v>
      </c>
      <c r="X125" s="1" t="s">
        <v>1982</v>
      </c>
      <c r="Y125" s="1" t="s">
        <v>1983</v>
      </c>
      <c r="AB125" s="1" t="s">
        <v>1984</v>
      </c>
      <c r="AE125" s="1" t="s">
        <v>1985</v>
      </c>
      <c r="AN125" s="1" t="s">
        <v>1986</v>
      </c>
      <c r="AT125" s="1" t="s">
        <v>57</v>
      </c>
      <c r="AU125" s="1" t="s">
        <v>1758</v>
      </c>
      <c r="AX125" s="1" t="s">
        <v>1987</v>
      </c>
      <c r="AY125" s="1" t="s">
        <v>1988</v>
      </c>
      <c r="BC125" s="1" t="s">
        <v>1989</v>
      </c>
      <c r="BD125" s="1" t="s">
        <v>1990</v>
      </c>
      <c r="BE125" s="1" t="s">
        <v>1991</v>
      </c>
      <c r="BF125" s="1" t="s">
        <v>1992</v>
      </c>
      <c r="CA125" s="1">
        <v>3</v>
      </c>
      <c r="CB125" s="1">
        <v>15</v>
      </c>
      <c r="CC125" s="1" t="s">
        <v>1993</v>
      </c>
      <c r="CD125" s="1">
        <v>8</v>
      </c>
      <c r="CE125" s="1">
        <v>11</v>
      </c>
      <c r="CF125" s="1" t="s">
        <v>1910</v>
      </c>
      <c r="CG125" s="1">
        <v>8</v>
      </c>
      <c r="CH125" s="1">
        <v>15</v>
      </c>
      <c r="CI125" s="1" t="s">
        <v>1994</v>
      </c>
      <c r="CJ125" s="1">
        <v>4</v>
      </c>
      <c r="CK125" s="1">
        <v>10</v>
      </c>
      <c r="CL125" s="1" t="s">
        <v>1467</v>
      </c>
      <c r="CM125" s="1">
        <v>10</v>
      </c>
      <c r="CN125" s="1">
        <v>9</v>
      </c>
      <c r="CO125" s="1" t="s">
        <v>1995</v>
      </c>
      <c r="CP125" s="1">
        <v>3</v>
      </c>
      <c r="CQ125" s="1">
        <v>12</v>
      </c>
      <c r="CR125" s="1" t="s">
        <v>1464</v>
      </c>
    </row>
    <row r="126" spans="1:96" x14ac:dyDescent="0.3">
      <c r="A126" s="1">
        <v>5</v>
      </c>
      <c r="B126" s="1">
        <v>16</v>
      </c>
      <c r="C126" s="1" t="s">
        <v>1810</v>
      </c>
      <c r="D126" s="1">
        <v>12</v>
      </c>
      <c r="F126" s="1" t="s">
        <v>1759</v>
      </c>
      <c r="G126" s="1" t="s">
        <v>57</v>
      </c>
      <c r="H126" s="1" t="s">
        <v>1996</v>
      </c>
      <c r="K126" s="1" t="s">
        <v>1997</v>
      </c>
      <c r="M126" s="1" t="s">
        <v>1998</v>
      </c>
      <c r="T126" s="1" t="s">
        <v>1999</v>
      </c>
      <c r="U126" s="1" t="s">
        <v>2000</v>
      </c>
      <c r="X126" s="1" t="s">
        <v>2001</v>
      </c>
      <c r="Y126" s="1" t="s">
        <v>2002</v>
      </c>
      <c r="AB126" s="1" t="s">
        <v>2003</v>
      </c>
      <c r="AE126" s="1" t="s">
        <v>2004</v>
      </c>
      <c r="AN126" s="1" t="s">
        <v>2005</v>
      </c>
      <c r="AT126" s="1" t="s">
        <v>57</v>
      </c>
      <c r="AU126" s="1" t="s">
        <v>1778</v>
      </c>
      <c r="AX126" s="1" t="s">
        <v>2006</v>
      </c>
      <c r="AY126" s="1" t="s">
        <v>2007</v>
      </c>
      <c r="BC126" s="1" t="s">
        <v>2008</v>
      </c>
      <c r="BD126" s="1" t="s">
        <v>2009</v>
      </c>
      <c r="BE126" s="1" t="s">
        <v>2010</v>
      </c>
      <c r="BF126" s="1" t="s">
        <v>2011</v>
      </c>
      <c r="CA126" s="1">
        <v>4</v>
      </c>
      <c r="CB126" s="1">
        <v>15</v>
      </c>
      <c r="CC126" s="1" t="s">
        <v>1776</v>
      </c>
      <c r="CD126" s="1">
        <v>8</v>
      </c>
      <c r="CE126" s="1">
        <v>10</v>
      </c>
      <c r="CF126" s="1" t="s">
        <v>1861</v>
      </c>
      <c r="CG126" s="1">
        <v>6</v>
      </c>
      <c r="CH126" s="1">
        <v>16</v>
      </c>
      <c r="CI126" s="1" t="s">
        <v>2012</v>
      </c>
      <c r="CJ126" s="1">
        <v>5</v>
      </c>
      <c r="CK126" s="1">
        <v>10</v>
      </c>
      <c r="CL126" s="1" t="s">
        <v>1636</v>
      </c>
      <c r="CM126" s="1">
        <v>11</v>
      </c>
      <c r="CN126" s="1">
        <v>8</v>
      </c>
      <c r="CO126" s="1" t="s">
        <v>2013</v>
      </c>
      <c r="CP126" s="1">
        <v>4</v>
      </c>
      <c r="CQ126" s="1">
        <v>12</v>
      </c>
      <c r="CR126" s="1" t="s">
        <v>1637</v>
      </c>
    </row>
    <row r="127" spans="1:96" x14ac:dyDescent="0.3">
      <c r="A127" s="1">
        <v>4</v>
      </c>
      <c r="B127" s="1">
        <v>17</v>
      </c>
      <c r="C127" s="1" t="s">
        <v>1832</v>
      </c>
      <c r="D127" s="1">
        <v>14</v>
      </c>
      <c r="F127" s="1" t="s">
        <v>1759</v>
      </c>
      <c r="G127" s="1" t="s">
        <v>57</v>
      </c>
      <c r="H127" s="1" t="s">
        <v>2014</v>
      </c>
      <c r="K127" s="1" t="s">
        <v>2015</v>
      </c>
      <c r="L127" s="1" t="s">
        <v>2016</v>
      </c>
      <c r="M127" s="1" t="s">
        <v>2017</v>
      </c>
      <c r="T127" s="1" t="s">
        <v>2018</v>
      </c>
      <c r="U127" s="1" t="s">
        <v>2019</v>
      </c>
      <c r="X127" s="1" t="s">
        <v>2020</v>
      </c>
      <c r="Y127" s="1" t="s">
        <v>2021</v>
      </c>
      <c r="AB127" s="1" t="s">
        <v>2022</v>
      </c>
      <c r="AD127" s="1" t="s">
        <v>2023</v>
      </c>
      <c r="AE127" s="1" t="s">
        <v>2024</v>
      </c>
      <c r="AN127" s="1" t="s">
        <v>2025</v>
      </c>
      <c r="AT127" s="1" t="s">
        <v>57</v>
      </c>
      <c r="AU127" s="1" t="s">
        <v>1797</v>
      </c>
      <c r="AX127" s="1" t="s">
        <v>2026</v>
      </c>
      <c r="AY127" s="1" t="s">
        <v>2027</v>
      </c>
      <c r="BC127" s="1" t="s">
        <v>2028</v>
      </c>
      <c r="BD127" s="1" t="s">
        <v>2029</v>
      </c>
      <c r="BE127" s="1" t="s">
        <v>2030</v>
      </c>
      <c r="BF127" s="1" t="s">
        <v>2031</v>
      </c>
      <c r="CA127" s="1">
        <v>3</v>
      </c>
      <c r="CB127" s="1">
        <v>16</v>
      </c>
      <c r="CC127" s="1" t="s">
        <v>1838</v>
      </c>
      <c r="CD127" s="1">
        <v>9</v>
      </c>
      <c r="CE127" s="1">
        <v>11</v>
      </c>
      <c r="CF127" s="1" t="s">
        <v>1973</v>
      </c>
      <c r="CG127" s="1">
        <v>7</v>
      </c>
      <c r="CH127" s="1">
        <v>16</v>
      </c>
      <c r="CI127" s="1" t="s">
        <v>2032</v>
      </c>
      <c r="CJ127" s="1">
        <v>6</v>
      </c>
      <c r="CK127" s="1">
        <v>10</v>
      </c>
      <c r="CL127" s="1" t="s">
        <v>1930</v>
      </c>
      <c r="CM127" s="1">
        <v>10</v>
      </c>
      <c r="CN127" s="1">
        <v>10</v>
      </c>
      <c r="CO127" s="1" t="s">
        <v>2033</v>
      </c>
      <c r="CP127" s="1">
        <v>6</v>
      </c>
      <c r="CQ127" s="1">
        <v>12</v>
      </c>
      <c r="CR127" s="1" t="s">
        <v>1688</v>
      </c>
    </row>
    <row r="128" spans="1:96" x14ac:dyDescent="0.3">
      <c r="A128" s="1">
        <v>5</v>
      </c>
      <c r="B128" s="1">
        <v>17</v>
      </c>
      <c r="C128" s="1" t="s">
        <v>1852</v>
      </c>
      <c r="D128" s="1">
        <v>18</v>
      </c>
      <c r="F128" s="1" t="s">
        <v>1759</v>
      </c>
      <c r="G128" s="1" t="s">
        <v>231</v>
      </c>
      <c r="H128" s="1" t="s">
        <v>2034</v>
      </c>
      <c r="I128" s="1" t="s">
        <v>2035</v>
      </c>
      <c r="J128" s="1" t="s">
        <v>2036</v>
      </c>
      <c r="K128" s="1" t="s">
        <v>2037</v>
      </c>
      <c r="L128" s="1" t="s">
        <v>2038</v>
      </c>
      <c r="M128" s="1" t="s">
        <v>2039</v>
      </c>
      <c r="O128" s="1" t="s">
        <v>2040</v>
      </c>
      <c r="T128" s="1" t="s">
        <v>2041</v>
      </c>
      <c r="U128" s="1" t="s">
        <v>2042</v>
      </c>
      <c r="X128" s="1" t="s">
        <v>2043</v>
      </c>
      <c r="Y128" s="1" t="s">
        <v>2044</v>
      </c>
      <c r="AB128" s="1" t="s">
        <v>2045</v>
      </c>
      <c r="AC128" s="1" t="s">
        <v>2046</v>
      </c>
      <c r="AD128" s="1" t="s">
        <v>2047</v>
      </c>
      <c r="AE128" s="1" t="s">
        <v>2048</v>
      </c>
      <c r="AN128" s="1" t="s">
        <v>2049</v>
      </c>
      <c r="AT128" s="1" t="s">
        <v>57</v>
      </c>
      <c r="AU128" s="1" t="s">
        <v>1819</v>
      </c>
      <c r="AX128" s="1" t="s">
        <v>2050</v>
      </c>
      <c r="AY128" s="1" t="s">
        <v>2051</v>
      </c>
      <c r="BC128" s="1" t="s">
        <v>2052</v>
      </c>
      <c r="BD128" s="1" t="s">
        <v>2053</v>
      </c>
      <c r="BE128" s="1" t="s">
        <v>2054</v>
      </c>
      <c r="BF128" s="1" t="s">
        <v>2055</v>
      </c>
      <c r="CA128" s="1">
        <v>4</v>
      </c>
      <c r="CB128" s="1">
        <v>16</v>
      </c>
      <c r="CC128" s="1" t="s">
        <v>1860</v>
      </c>
      <c r="CD128" s="1">
        <v>9</v>
      </c>
      <c r="CE128" s="1">
        <v>10</v>
      </c>
      <c r="CF128" s="1" t="s">
        <v>1931</v>
      </c>
      <c r="CG128" s="1">
        <v>8</v>
      </c>
      <c r="CH128" s="1">
        <v>16</v>
      </c>
      <c r="CI128" s="1" t="s">
        <v>2056</v>
      </c>
      <c r="CJ128" s="1">
        <v>4</v>
      </c>
      <c r="CK128" s="1">
        <v>11</v>
      </c>
      <c r="CL128" s="1" t="s">
        <v>1449</v>
      </c>
      <c r="CM128" s="1">
        <v>11</v>
      </c>
      <c r="CN128" s="1">
        <v>9</v>
      </c>
      <c r="CO128" s="1" t="s">
        <v>2057</v>
      </c>
      <c r="CP128" s="1">
        <v>2</v>
      </c>
      <c r="CQ128" s="1">
        <v>13</v>
      </c>
      <c r="CR128" s="1" t="s">
        <v>1603</v>
      </c>
    </row>
    <row r="129" spans="1:96" x14ac:dyDescent="0.3">
      <c r="A129" s="1">
        <v>4</v>
      </c>
      <c r="B129" s="1">
        <v>18</v>
      </c>
      <c r="C129" s="1" t="s">
        <v>1877</v>
      </c>
      <c r="D129" s="1">
        <v>15</v>
      </c>
      <c r="F129" s="1" t="s">
        <v>1759</v>
      </c>
      <c r="G129" s="1" t="s">
        <v>57</v>
      </c>
      <c r="H129" s="1" t="s">
        <v>2058</v>
      </c>
      <c r="J129" s="1" t="s">
        <v>2059</v>
      </c>
      <c r="M129" s="1" t="s">
        <v>2060</v>
      </c>
      <c r="O129" s="1" t="s">
        <v>2061</v>
      </c>
      <c r="T129" s="1" t="s">
        <v>2062</v>
      </c>
      <c r="U129" s="1" t="s">
        <v>2063</v>
      </c>
      <c r="X129" s="1" t="s">
        <v>2064</v>
      </c>
      <c r="Y129" s="1" t="s">
        <v>2065</v>
      </c>
      <c r="AB129" s="1" t="s">
        <v>2066</v>
      </c>
      <c r="AC129" s="1" t="s">
        <v>2067</v>
      </c>
      <c r="AD129" s="1" t="s">
        <v>2068</v>
      </c>
      <c r="AE129" s="1" t="s">
        <v>2069</v>
      </c>
      <c r="AN129" s="1" t="s">
        <v>2070</v>
      </c>
      <c r="AT129" s="1" t="s">
        <v>57</v>
      </c>
      <c r="AU129" s="1" t="s">
        <v>1840</v>
      </c>
      <c r="AX129" s="1" t="s">
        <v>2071</v>
      </c>
      <c r="AY129" s="1" t="s">
        <v>2072</v>
      </c>
      <c r="BC129" s="1" t="s">
        <v>2073</v>
      </c>
      <c r="BD129" s="1" t="s">
        <v>2074</v>
      </c>
      <c r="BE129" s="1" t="s">
        <v>2075</v>
      </c>
      <c r="BF129" s="1" t="s">
        <v>2076</v>
      </c>
      <c r="CA129" s="1">
        <v>3</v>
      </c>
      <c r="CB129" s="1">
        <v>17</v>
      </c>
      <c r="CC129" s="1" t="s">
        <v>2077</v>
      </c>
      <c r="CD129" s="1">
        <v>10</v>
      </c>
      <c r="CE129" s="1">
        <v>12</v>
      </c>
      <c r="CF129" s="1" t="s">
        <v>2078</v>
      </c>
      <c r="CG129" s="1">
        <v>6</v>
      </c>
      <c r="CH129" s="1">
        <v>17</v>
      </c>
      <c r="CI129" s="1" t="s">
        <v>2079</v>
      </c>
      <c r="CJ129" s="1">
        <v>5</v>
      </c>
      <c r="CK129" s="1">
        <v>11</v>
      </c>
      <c r="CL129" s="1" t="s">
        <v>1670</v>
      </c>
      <c r="CM129" s="1">
        <v>10</v>
      </c>
      <c r="CN129" s="1">
        <v>11</v>
      </c>
      <c r="CO129" s="1" t="s">
        <v>2080</v>
      </c>
      <c r="CP129" s="1">
        <v>4</v>
      </c>
      <c r="CQ129" s="1">
        <v>13</v>
      </c>
      <c r="CR129" s="1" t="s">
        <v>1400</v>
      </c>
    </row>
    <row r="130" spans="1:96" x14ac:dyDescent="0.3">
      <c r="A130" s="1">
        <v>5</v>
      </c>
      <c r="B130" s="1">
        <v>18</v>
      </c>
      <c r="C130" s="1" t="s">
        <v>1901</v>
      </c>
      <c r="D130" s="1">
        <v>16</v>
      </c>
      <c r="F130" s="1" t="s">
        <v>1759</v>
      </c>
      <c r="G130" s="1" t="s">
        <v>57</v>
      </c>
      <c r="H130" s="1" t="s">
        <v>2081</v>
      </c>
      <c r="I130" s="1" t="s">
        <v>2082</v>
      </c>
      <c r="J130" s="1" t="s">
        <v>2083</v>
      </c>
      <c r="M130" s="1" t="s">
        <v>2084</v>
      </c>
      <c r="O130" s="1" t="s">
        <v>2085</v>
      </c>
      <c r="T130" s="1" t="s">
        <v>2086</v>
      </c>
      <c r="U130" s="1" t="s">
        <v>2087</v>
      </c>
      <c r="X130" s="1" t="s">
        <v>2088</v>
      </c>
      <c r="Y130" s="1" t="s">
        <v>2089</v>
      </c>
      <c r="AB130" s="1" t="s">
        <v>2090</v>
      </c>
      <c r="AC130" s="1" t="s">
        <v>2091</v>
      </c>
      <c r="AD130" s="1" t="s">
        <v>2092</v>
      </c>
      <c r="AE130" s="1" t="s">
        <v>2093</v>
      </c>
      <c r="AN130" s="1" t="s">
        <v>2094</v>
      </c>
      <c r="AT130" s="1" t="s">
        <v>57</v>
      </c>
      <c r="AU130" s="1" t="s">
        <v>1862</v>
      </c>
      <c r="AX130" s="1" t="s">
        <v>2095</v>
      </c>
      <c r="AY130" s="1" t="s">
        <v>2096</v>
      </c>
      <c r="BC130" s="1" t="s">
        <v>2097</v>
      </c>
      <c r="BD130" s="1" t="s">
        <v>2098</v>
      </c>
      <c r="BE130" s="1" t="s">
        <v>2099</v>
      </c>
      <c r="BF130" s="1" t="s">
        <v>2100</v>
      </c>
      <c r="CA130" s="1">
        <v>4</v>
      </c>
      <c r="CB130" s="1">
        <v>17</v>
      </c>
      <c r="CC130" s="1" t="s">
        <v>1909</v>
      </c>
      <c r="CD130" s="1">
        <v>10</v>
      </c>
      <c r="CE130" s="1">
        <v>11</v>
      </c>
      <c r="CF130" s="1" t="s">
        <v>2080</v>
      </c>
      <c r="CG130" s="1">
        <v>8</v>
      </c>
      <c r="CH130" s="1">
        <v>17</v>
      </c>
      <c r="CI130" s="1" t="s">
        <v>2101</v>
      </c>
      <c r="CJ130" s="1">
        <v>5</v>
      </c>
      <c r="CK130" s="1">
        <v>12</v>
      </c>
      <c r="CL130" s="1" t="s">
        <v>1655</v>
      </c>
      <c r="CM130" s="1">
        <v>11</v>
      </c>
      <c r="CN130" s="1">
        <v>10</v>
      </c>
      <c r="CO130" s="1" t="s">
        <v>2102</v>
      </c>
      <c r="CP130" s="1">
        <v>6</v>
      </c>
      <c r="CQ130" s="1">
        <v>13</v>
      </c>
      <c r="CR130" s="1" t="s">
        <v>1465</v>
      </c>
    </row>
    <row r="131" spans="1:96" x14ac:dyDescent="0.3">
      <c r="A131" s="1">
        <v>20</v>
      </c>
      <c r="B131" s="1">
        <v>6</v>
      </c>
      <c r="C131" s="1" t="s">
        <v>2103</v>
      </c>
      <c r="D131" s="1">
        <v>5</v>
      </c>
      <c r="F131" s="1" t="s">
        <v>113</v>
      </c>
      <c r="G131" s="1" t="s">
        <v>57</v>
      </c>
      <c r="H131" s="1" t="s">
        <v>2104</v>
      </c>
      <c r="I131" s="1" t="s">
        <v>2105</v>
      </c>
      <c r="J131" s="1" t="s">
        <v>2106</v>
      </c>
      <c r="O131" s="1" t="s">
        <v>2107</v>
      </c>
      <c r="V131" s="1" t="s">
        <v>2108</v>
      </c>
      <c r="AT131" s="1" t="s">
        <v>57</v>
      </c>
      <c r="AU131" s="1" t="s">
        <v>947</v>
      </c>
      <c r="CA131" s="1">
        <v>19</v>
      </c>
      <c r="CB131" s="1">
        <v>5</v>
      </c>
      <c r="CC131" s="1" t="s">
        <v>2109</v>
      </c>
      <c r="CD131" s="1">
        <v>0</v>
      </c>
      <c r="CE131" s="1">
        <v>0</v>
      </c>
      <c r="CG131" s="1">
        <v>0</v>
      </c>
      <c r="CH131" s="1">
        <v>0</v>
      </c>
      <c r="CJ131" s="1">
        <v>0</v>
      </c>
      <c r="CK131" s="1">
        <v>0</v>
      </c>
      <c r="CM131" s="1">
        <v>0</v>
      </c>
      <c r="CN131" s="1">
        <v>0</v>
      </c>
      <c r="CP131" s="1">
        <v>0</v>
      </c>
      <c r="CQ131" s="1">
        <v>0</v>
      </c>
    </row>
    <row r="132" spans="1:96" x14ac:dyDescent="0.3">
      <c r="A132" s="1">
        <v>21</v>
      </c>
      <c r="B132" s="1">
        <v>6</v>
      </c>
      <c r="C132" s="1" t="s">
        <v>2110</v>
      </c>
      <c r="D132" s="1">
        <v>5</v>
      </c>
      <c r="F132" s="1" t="s">
        <v>113</v>
      </c>
      <c r="G132" s="1" t="s">
        <v>57</v>
      </c>
      <c r="H132" s="1" t="s">
        <v>2111</v>
      </c>
      <c r="I132" s="1" t="s">
        <v>2112</v>
      </c>
      <c r="J132" s="1" t="s">
        <v>2113</v>
      </c>
      <c r="O132" s="1" t="s">
        <v>2114</v>
      </c>
      <c r="V132" s="1" t="s">
        <v>2115</v>
      </c>
      <c r="AT132" s="1" t="s">
        <v>57</v>
      </c>
      <c r="AU132" s="1" t="s">
        <v>2103</v>
      </c>
      <c r="CA132" s="1">
        <v>20</v>
      </c>
      <c r="CB132" s="1">
        <v>5</v>
      </c>
      <c r="CC132" s="1" t="s">
        <v>2116</v>
      </c>
      <c r="CD132" s="1">
        <v>0</v>
      </c>
      <c r="CE132" s="1">
        <v>0</v>
      </c>
      <c r="CG132" s="1">
        <v>0</v>
      </c>
      <c r="CH132" s="1">
        <v>0</v>
      </c>
      <c r="CJ132" s="1">
        <v>0</v>
      </c>
      <c r="CK132" s="1">
        <v>0</v>
      </c>
      <c r="CM132" s="1">
        <v>0</v>
      </c>
      <c r="CN132" s="1">
        <v>0</v>
      </c>
      <c r="CP132" s="1">
        <v>0</v>
      </c>
      <c r="CQ132" s="1">
        <v>0</v>
      </c>
    </row>
    <row r="133" spans="1:96" x14ac:dyDescent="0.3">
      <c r="A133" s="1">
        <v>20</v>
      </c>
      <c r="B133" s="1">
        <v>7</v>
      </c>
      <c r="C133" s="1" t="s">
        <v>2117</v>
      </c>
      <c r="D133" s="1">
        <v>7</v>
      </c>
      <c r="F133" s="1" t="s">
        <v>113</v>
      </c>
      <c r="G133" s="1" t="s">
        <v>57</v>
      </c>
      <c r="H133" s="1" t="s">
        <v>2118</v>
      </c>
      <c r="I133" s="1" t="s">
        <v>2119</v>
      </c>
      <c r="J133" s="1" t="s">
        <v>2120</v>
      </c>
      <c r="K133" s="1" t="s">
        <v>2121</v>
      </c>
      <c r="L133" s="1" t="s">
        <v>2122</v>
      </c>
      <c r="O133" s="1" t="s">
        <v>2123</v>
      </c>
      <c r="V133" s="1" t="s">
        <v>2124</v>
      </c>
      <c r="AT133" s="1" t="s">
        <v>57</v>
      </c>
      <c r="AU133" s="1" t="s">
        <v>2110</v>
      </c>
      <c r="CA133" s="1">
        <v>19</v>
      </c>
      <c r="CB133" s="1">
        <v>6</v>
      </c>
      <c r="CC133" s="1" t="s">
        <v>2125</v>
      </c>
      <c r="CD133" s="1">
        <v>0</v>
      </c>
      <c r="CE133" s="1">
        <v>0</v>
      </c>
      <c r="CG133" s="1">
        <v>0</v>
      </c>
      <c r="CH133" s="1">
        <v>0</v>
      </c>
      <c r="CJ133" s="1">
        <v>0</v>
      </c>
      <c r="CK133" s="1">
        <v>0</v>
      </c>
      <c r="CM133" s="1">
        <v>0</v>
      </c>
      <c r="CN133" s="1">
        <v>0</v>
      </c>
      <c r="CP133" s="1">
        <v>0</v>
      </c>
      <c r="CQ133" s="1">
        <v>0</v>
      </c>
    </row>
    <row r="134" spans="1:96" x14ac:dyDescent="0.3">
      <c r="A134" s="1">
        <v>21</v>
      </c>
      <c r="B134" s="1">
        <v>7</v>
      </c>
      <c r="C134" s="1" t="s">
        <v>2126</v>
      </c>
      <c r="D134" s="1">
        <v>7</v>
      </c>
      <c r="F134" s="1" t="s">
        <v>113</v>
      </c>
      <c r="G134" s="1" t="s">
        <v>57</v>
      </c>
      <c r="H134" s="1" t="s">
        <v>2127</v>
      </c>
      <c r="I134" s="1" t="s">
        <v>2128</v>
      </c>
      <c r="K134" s="1" t="s">
        <v>2129</v>
      </c>
      <c r="L134" s="1" t="s">
        <v>2130</v>
      </c>
      <c r="M134" s="1" t="s">
        <v>2131</v>
      </c>
      <c r="O134" s="1" t="s">
        <v>2132</v>
      </c>
      <c r="V134" s="1" t="s">
        <v>2133</v>
      </c>
      <c r="AT134" s="1" t="s">
        <v>57</v>
      </c>
      <c r="AU134" s="1" t="s">
        <v>2117</v>
      </c>
      <c r="CA134" s="1">
        <v>20</v>
      </c>
      <c r="CB134" s="1">
        <v>6</v>
      </c>
      <c r="CC134" s="1" t="s">
        <v>2134</v>
      </c>
      <c r="CD134" s="1">
        <v>0</v>
      </c>
      <c r="CE134" s="1">
        <v>0</v>
      </c>
      <c r="CG134" s="1">
        <v>0</v>
      </c>
      <c r="CH134" s="1">
        <v>0</v>
      </c>
      <c r="CJ134" s="1">
        <v>0</v>
      </c>
      <c r="CK134" s="1">
        <v>0</v>
      </c>
      <c r="CM134" s="1">
        <v>0</v>
      </c>
      <c r="CN134" s="1">
        <v>0</v>
      </c>
      <c r="CP134" s="1">
        <v>0</v>
      </c>
      <c r="CQ134" s="1">
        <v>0</v>
      </c>
    </row>
    <row r="135" spans="1:96" x14ac:dyDescent="0.3">
      <c r="A135" s="1">
        <v>20</v>
      </c>
      <c r="B135" s="1">
        <v>8</v>
      </c>
      <c r="C135" s="1" t="s">
        <v>2135</v>
      </c>
      <c r="D135" s="1">
        <v>5</v>
      </c>
      <c r="F135" s="1" t="s">
        <v>113</v>
      </c>
      <c r="G135" s="1" t="s">
        <v>57</v>
      </c>
      <c r="H135" s="1" t="s">
        <v>2136</v>
      </c>
      <c r="K135" s="1" t="s">
        <v>2137</v>
      </c>
      <c r="M135" s="1" t="s">
        <v>2138</v>
      </c>
      <c r="O135" s="1" t="s">
        <v>2139</v>
      </c>
      <c r="V135" s="1" t="s">
        <v>2140</v>
      </c>
      <c r="AT135" s="1" t="s">
        <v>57</v>
      </c>
      <c r="AU135" s="1" t="s">
        <v>2126</v>
      </c>
      <c r="CA135" s="1">
        <v>19</v>
      </c>
      <c r="CB135" s="1">
        <v>7</v>
      </c>
      <c r="CC135" s="1" t="s">
        <v>2141</v>
      </c>
      <c r="CD135" s="1">
        <v>0</v>
      </c>
      <c r="CE135" s="1">
        <v>0</v>
      </c>
      <c r="CG135" s="1">
        <v>0</v>
      </c>
      <c r="CH135" s="1">
        <v>0</v>
      </c>
      <c r="CJ135" s="1">
        <v>0</v>
      </c>
      <c r="CK135" s="1">
        <v>0</v>
      </c>
      <c r="CM135" s="1">
        <v>0</v>
      </c>
      <c r="CN135" s="1">
        <v>0</v>
      </c>
      <c r="CP135" s="1">
        <v>0</v>
      </c>
      <c r="CQ135" s="1">
        <v>0</v>
      </c>
    </row>
    <row r="136" spans="1:96" x14ac:dyDescent="0.3">
      <c r="A136" s="1">
        <v>21</v>
      </c>
      <c r="B136" s="1">
        <v>8</v>
      </c>
      <c r="C136" s="1" t="s">
        <v>2142</v>
      </c>
      <c r="D136" s="1">
        <v>7</v>
      </c>
      <c r="F136" s="1" t="s">
        <v>113</v>
      </c>
      <c r="G136" s="1" t="s">
        <v>57</v>
      </c>
      <c r="H136" s="1" t="s">
        <v>2143</v>
      </c>
      <c r="I136" s="1" t="s">
        <v>2144</v>
      </c>
      <c r="J136" s="1" t="s">
        <v>2145</v>
      </c>
      <c r="K136" s="1" t="s">
        <v>2146</v>
      </c>
      <c r="M136" s="1" t="s">
        <v>2147</v>
      </c>
      <c r="O136" s="1" t="s">
        <v>2148</v>
      </c>
      <c r="V136" s="1" t="s">
        <v>2149</v>
      </c>
      <c r="AT136" s="1" t="s">
        <v>57</v>
      </c>
      <c r="AU136" s="1" t="s">
        <v>2135</v>
      </c>
      <c r="CA136" s="1">
        <v>20</v>
      </c>
      <c r="CB136" s="1">
        <v>7</v>
      </c>
      <c r="CC136" s="1" t="s">
        <v>2150</v>
      </c>
      <c r="CD136" s="1">
        <v>0</v>
      </c>
      <c r="CE136" s="1">
        <v>0</v>
      </c>
      <c r="CG136" s="1">
        <v>0</v>
      </c>
      <c r="CH136" s="1">
        <v>0</v>
      </c>
      <c r="CJ136" s="1">
        <v>0</v>
      </c>
      <c r="CK136" s="1">
        <v>0</v>
      </c>
      <c r="CM136" s="1">
        <v>0</v>
      </c>
      <c r="CN136" s="1">
        <v>0</v>
      </c>
      <c r="CP136" s="1">
        <v>0</v>
      </c>
      <c r="CQ136" s="1">
        <v>0</v>
      </c>
    </row>
    <row r="137" spans="1:96" x14ac:dyDescent="0.3">
      <c r="A137" s="1">
        <v>20</v>
      </c>
      <c r="B137" s="1">
        <v>9</v>
      </c>
      <c r="C137" s="1" t="s">
        <v>2151</v>
      </c>
      <c r="D137" s="1">
        <v>6</v>
      </c>
      <c r="F137" s="1" t="s">
        <v>113</v>
      </c>
      <c r="G137" s="1" t="s">
        <v>231</v>
      </c>
      <c r="H137" s="1" t="s">
        <v>2152</v>
      </c>
      <c r="I137" s="1" t="s">
        <v>2153</v>
      </c>
      <c r="J137" s="1" t="s">
        <v>2154</v>
      </c>
      <c r="L137" s="1" t="s">
        <v>2155</v>
      </c>
      <c r="M137" s="1" t="s">
        <v>2156</v>
      </c>
      <c r="V137" s="1" t="s">
        <v>2157</v>
      </c>
      <c r="AT137" s="1" t="s">
        <v>57</v>
      </c>
      <c r="AU137" s="1" t="s">
        <v>2142</v>
      </c>
      <c r="CA137" s="1">
        <v>19</v>
      </c>
      <c r="CB137" s="1">
        <v>8</v>
      </c>
      <c r="CC137" s="1" t="s">
        <v>2158</v>
      </c>
      <c r="CD137" s="1">
        <v>0</v>
      </c>
      <c r="CE137" s="1">
        <v>0</v>
      </c>
      <c r="CG137" s="1">
        <v>0</v>
      </c>
      <c r="CH137" s="1">
        <v>0</v>
      </c>
      <c r="CJ137" s="1">
        <v>0</v>
      </c>
      <c r="CK137" s="1">
        <v>0</v>
      </c>
      <c r="CM137" s="1">
        <v>0</v>
      </c>
      <c r="CN137" s="1">
        <v>0</v>
      </c>
      <c r="CP137" s="1">
        <v>0</v>
      </c>
      <c r="CQ137" s="1">
        <v>0</v>
      </c>
    </row>
    <row r="138" spans="1:96" x14ac:dyDescent="0.3">
      <c r="A138" s="1">
        <v>21</v>
      </c>
      <c r="B138" s="1">
        <v>9</v>
      </c>
      <c r="C138" s="1" t="s">
        <v>1151</v>
      </c>
      <c r="D138" s="1">
        <v>7</v>
      </c>
      <c r="F138" s="1" t="s">
        <v>113</v>
      </c>
      <c r="G138" s="1" t="s">
        <v>57</v>
      </c>
      <c r="H138" s="1" t="s">
        <v>2159</v>
      </c>
      <c r="I138" s="1" t="s">
        <v>2160</v>
      </c>
      <c r="J138" s="1" t="s">
        <v>2161</v>
      </c>
      <c r="L138" s="1" t="s">
        <v>2162</v>
      </c>
      <c r="M138" s="1" t="s">
        <v>2163</v>
      </c>
      <c r="T138" s="1" t="s">
        <v>2164</v>
      </c>
      <c r="V138" s="1" t="s">
        <v>2165</v>
      </c>
      <c r="AT138" s="1" t="s">
        <v>57</v>
      </c>
      <c r="AU138" s="1" t="s">
        <v>2151</v>
      </c>
      <c r="CA138" s="1">
        <v>20</v>
      </c>
      <c r="CB138" s="1">
        <v>8</v>
      </c>
      <c r="CC138" s="1" t="s">
        <v>2166</v>
      </c>
      <c r="CD138" s="1">
        <v>0</v>
      </c>
      <c r="CE138" s="1">
        <v>0</v>
      </c>
      <c r="CG138" s="1">
        <v>0</v>
      </c>
      <c r="CH138" s="1">
        <v>0</v>
      </c>
      <c r="CJ138" s="1">
        <v>0</v>
      </c>
      <c r="CK138" s="1">
        <v>0</v>
      </c>
      <c r="CM138" s="1">
        <v>0</v>
      </c>
      <c r="CN138" s="1">
        <v>0</v>
      </c>
      <c r="CP138" s="1">
        <v>0</v>
      </c>
      <c r="CQ138" s="1">
        <v>0</v>
      </c>
    </row>
    <row r="139" spans="1:96" x14ac:dyDescent="0.3">
      <c r="A139" s="1">
        <v>17</v>
      </c>
      <c r="B139" s="1">
        <v>9</v>
      </c>
      <c r="C139" s="1" t="s">
        <v>2167</v>
      </c>
      <c r="D139" s="1">
        <v>4</v>
      </c>
      <c r="F139" s="1" t="s">
        <v>2168</v>
      </c>
      <c r="G139" s="1" t="s">
        <v>57</v>
      </c>
      <c r="H139" s="1" t="s">
        <v>2169</v>
      </c>
      <c r="I139" s="1" t="s">
        <v>2170</v>
      </c>
      <c r="J139" s="1" t="s">
        <v>2171</v>
      </c>
      <c r="O139" s="1" t="s">
        <v>2172</v>
      </c>
      <c r="AT139" s="1" t="s">
        <v>57</v>
      </c>
      <c r="AU139" s="1" t="s">
        <v>2173</v>
      </c>
      <c r="CA139" s="1">
        <v>16</v>
      </c>
      <c r="CB139" s="1">
        <v>8</v>
      </c>
      <c r="CC139" s="1" t="s">
        <v>153</v>
      </c>
      <c r="CD139" s="1">
        <v>0</v>
      </c>
      <c r="CE139" s="1">
        <v>0</v>
      </c>
      <c r="CG139" s="1">
        <v>0</v>
      </c>
      <c r="CH139" s="1">
        <v>0</v>
      </c>
      <c r="CJ139" s="1">
        <v>0</v>
      </c>
      <c r="CK139" s="1">
        <v>0</v>
      </c>
      <c r="CM139" s="1">
        <v>0</v>
      </c>
      <c r="CN139" s="1">
        <v>0</v>
      </c>
      <c r="CP139" s="1">
        <v>0</v>
      </c>
      <c r="CQ139" s="1">
        <v>0</v>
      </c>
    </row>
    <row r="140" spans="1:96" x14ac:dyDescent="0.3">
      <c r="A140" s="1">
        <v>16</v>
      </c>
      <c r="B140" s="1">
        <v>9</v>
      </c>
      <c r="C140" s="1" t="s">
        <v>2174</v>
      </c>
      <c r="D140" s="1">
        <v>4</v>
      </c>
      <c r="F140" s="1" t="s">
        <v>2168</v>
      </c>
      <c r="G140" s="1" t="s">
        <v>57</v>
      </c>
      <c r="H140" s="1" t="s">
        <v>2175</v>
      </c>
      <c r="I140" s="1" t="s">
        <v>2176</v>
      </c>
      <c r="J140" s="1" t="s">
        <v>2177</v>
      </c>
      <c r="O140" s="1" t="s">
        <v>2178</v>
      </c>
      <c r="AT140" s="1" t="s">
        <v>57</v>
      </c>
      <c r="AU140" s="1" t="s">
        <v>2179</v>
      </c>
      <c r="CA140" s="1">
        <v>15</v>
      </c>
      <c r="CB140" s="1">
        <v>8</v>
      </c>
      <c r="CC140" s="1" t="s">
        <v>138</v>
      </c>
      <c r="CD140" s="1">
        <v>0</v>
      </c>
      <c r="CE140" s="1">
        <v>0</v>
      </c>
      <c r="CG140" s="1">
        <v>0</v>
      </c>
      <c r="CH140" s="1">
        <v>0</v>
      </c>
      <c r="CJ140" s="1">
        <v>0</v>
      </c>
      <c r="CK140" s="1">
        <v>0</v>
      </c>
      <c r="CM140" s="1">
        <v>0</v>
      </c>
      <c r="CN140" s="1">
        <v>0</v>
      </c>
      <c r="CP140" s="1">
        <v>0</v>
      </c>
      <c r="CQ140" s="1">
        <v>0</v>
      </c>
    </row>
    <row r="141" spans="1:96" x14ac:dyDescent="0.3">
      <c r="A141" s="1">
        <v>15</v>
      </c>
      <c r="B141" s="1">
        <v>9</v>
      </c>
      <c r="C141" s="1" t="s">
        <v>2180</v>
      </c>
      <c r="D141" s="1">
        <v>7</v>
      </c>
      <c r="F141" s="1" t="s">
        <v>2168</v>
      </c>
      <c r="G141" s="1" t="s">
        <v>57</v>
      </c>
      <c r="H141" s="1" t="s">
        <v>2181</v>
      </c>
      <c r="I141" s="1" t="s">
        <v>2182</v>
      </c>
      <c r="J141" s="1" t="s">
        <v>2183</v>
      </c>
      <c r="K141" s="1" t="s">
        <v>2184</v>
      </c>
      <c r="L141" s="1" t="s">
        <v>2185</v>
      </c>
      <c r="O141" s="1" t="s">
        <v>2186</v>
      </c>
      <c r="Q141" s="1" t="s">
        <v>2187</v>
      </c>
      <c r="AT141" s="1" t="s">
        <v>57</v>
      </c>
      <c r="AU141" s="1" t="s">
        <v>2188</v>
      </c>
      <c r="CA141" s="1">
        <v>14</v>
      </c>
      <c r="CB141" s="1">
        <v>8</v>
      </c>
      <c r="CC141" s="1" t="s">
        <v>247</v>
      </c>
      <c r="CD141" s="1">
        <v>0</v>
      </c>
      <c r="CE141" s="1">
        <v>0</v>
      </c>
      <c r="CG141" s="1">
        <v>0</v>
      </c>
      <c r="CH141" s="1">
        <v>0</v>
      </c>
      <c r="CJ141" s="1">
        <v>0</v>
      </c>
      <c r="CK141" s="1">
        <v>0</v>
      </c>
      <c r="CM141" s="1">
        <v>0</v>
      </c>
      <c r="CN141" s="1">
        <v>0</v>
      </c>
      <c r="CP141" s="1">
        <v>0</v>
      </c>
      <c r="CQ141" s="1">
        <v>0</v>
      </c>
    </row>
    <row r="142" spans="1:96" x14ac:dyDescent="0.3">
      <c r="A142" s="1">
        <v>14</v>
      </c>
      <c r="B142" s="1">
        <v>9</v>
      </c>
      <c r="C142" s="1" t="s">
        <v>2189</v>
      </c>
      <c r="D142" s="1">
        <v>6</v>
      </c>
      <c r="F142" s="1" t="s">
        <v>2168</v>
      </c>
      <c r="G142" s="1" t="s">
        <v>57</v>
      </c>
      <c r="H142" s="1" t="s">
        <v>2190</v>
      </c>
      <c r="I142" s="1" t="s">
        <v>2191</v>
      </c>
      <c r="K142" s="1" t="s">
        <v>2192</v>
      </c>
      <c r="L142" s="1" t="s">
        <v>2193</v>
      </c>
      <c r="O142" s="1" t="s">
        <v>2194</v>
      </c>
      <c r="Q142" s="1" t="s">
        <v>2195</v>
      </c>
      <c r="AT142" s="1" t="s">
        <v>57</v>
      </c>
      <c r="AU142" s="1" t="s">
        <v>2196</v>
      </c>
      <c r="CA142" s="1">
        <v>13</v>
      </c>
      <c r="CB142" s="1">
        <v>8</v>
      </c>
      <c r="CC142" s="1" t="s">
        <v>2197</v>
      </c>
      <c r="CD142" s="1">
        <v>0</v>
      </c>
      <c r="CE142" s="1">
        <v>0</v>
      </c>
      <c r="CG142" s="1">
        <v>0</v>
      </c>
      <c r="CH142" s="1">
        <v>0</v>
      </c>
      <c r="CJ142" s="1">
        <v>0</v>
      </c>
      <c r="CK142" s="1">
        <v>0</v>
      </c>
      <c r="CM142" s="1">
        <v>0</v>
      </c>
      <c r="CN142" s="1">
        <v>0</v>
      </c>
      <c r="CP142" s="1">
        <v>0</v>
      </c>
      <c r="CQ142" s="1">
        <v>0</v>
      </c>
    </row>
    <row r="143" spans="1:96" x14ac:dyDescent="0.3">
      <c r="A143" s="1">
        <v>15</v>
      </c>
      <c r="B143" s="1">
        <v>8</v>
      </c>
      <c r="C143" s="1" t="s">
        <v>2173</v>
      </c>
      <c r="D143" s="1">
        <v>5</v>
      </c>
      <c r="F143" s="1" t="s">
        <v>2168</v>
      </c>
      <c r="G143" s="1" t="s">
        <v>57</v>
      </c>
      <c r="H143" s="1" t="s">
        <v>2198</v>
      </c>
      <c r="K143" s="1" t="s">
        <v>2199</v>
      </c>
      <c r="M143" s="1" t="s">
        <v>2200</v>
      </c>
      <c r="O143" s="1" t="s">
        <v>2201</v>
      </c>
      <c r="Q143" s="1" t="s">
        <v>2202</v>
      </c>
      <c r="AT143" s="1" t="s">
        <v>57</v>
      </c>
      <c r="AU143" s="1" t="s">
        <v>2203</v>
      </c>
      <c r="CA143" s="1">
        <v>14</v>
      </c>
      <c r="CB143" s="1">
        <v>7</v>
      </c>
      <c r="CC143" s="1" t="s">
        <v>2204</v>
      </c>
      <c r="CD143" s="1">
        <v>0</v>
      </c>
      <c r="CE143" s="1">
        <v>0</v>
      </c>
      <c r="CG143" s="1">
        <v>0</v>
      </c>
      <c r="CH143" s="1">
        <v>0</v>
      </c>
      <c r="CJ143" s="1">
        <v>0</v>
      </c>
      <c r="CK143" s="1">
        <v>0</v>
      </c>
      <c r="CM143" s="1">
        <v>0</v>
      </c>
      <c r="CN143" s="1">
        <v>0</v>
      </c>
      <c r="CP143" s="1">
        <v>0</v>
      </c>
      <c r="CQ143" s="1">
        <v>0</v>
      </c>
    </row>
    <row r="144" spans="1:96" x14ac:dyDescent="0.3">
      <c r="A144" s="1">
        <v>14</v>
      </c>
      <c r="B144" s="1">
        <v>8</v>
      </c>
      <c r="C144" s="1" t="s">
        <v>2179</v>
      </c>
      <c r="D144" s="1">
        <v>7</v>
      </c>
      <c r="F144" s="1" t="s">
        <v>2168</v>
      </c>
      <c r="G144" s="1" t="s">
        <v>57</v>
      </c>
      <c r="H144" s="1" t="s">
        <v>2205</v>
      </c>
      <c r="I144" s="1" t="s">
        <v>2206</v>
      </c>
      <c r="J144" s="1" t="s">
        <v>2207</v>
      </c>
      <c r="K144" s="1" t="s">
        <v>2208</v>
      </c>
      <c r="M144" s="1" t="s">
        <v>2209</v>
      </c>
      <c r="O144" s="1" t="s">
        <v>2210</v>
      </c>
      <c r="Q144" s="1" t="s">
        <v>2211</v>
      </c>
      <c r="AT144" s="1" t="s">
        <v>57</v>
      </c>
      <c r="AU144" s="1" t="s">
        <v>2167</v>
      </c>
      <c r="CA144" s="1">
        <v>13</v>
      </c>
      <c r="CB144" s="1">
        <v>7</v>
      </c>
      <c r="CC144" s="1" t="s">
        <v>2212</v>
      </c>
      <c r="CD144" s="1">
        <v>0</v>
      </c>
      <c r="CE144" s="1">
        <v>0</v>
      </c>
      <c r="CG144" s="1">
        <v>0</v>
      </c>
      <c r="CH144" s="1">
        <v>0</v>
      </c>
      <c r="CJ144" s="1">
        <v>0</v>
      </c>
      <c r="CK144" s="1">
        <v>0</v>
      </c>
      <c r="CM144" s="1">
        <v>0</v>
      </c>
      <c r="CN144" s="1">
        <v>0</v>
      </c>
      <c r="CP144" s="1">
        <v>0</v>
      </c>
      <c r="CQ144" s="1">
        <v>0</v>
      </c>
    </row>
    <row r="145" spans="1:95" x14ac:dyDescent="0.3">
      <c r="A145" s="1">
        <v>15</v>
      </c>
      <c r="B145" s="1">
        <v>7</v>
      </c>
      <c r="C145" s="1" t="s">
        <v>2188</v>
      </c>
      <c r="D145" s="1">
        <v>6</v>
      </c>
      <c r="F145" s="1" t="s">
        <v>2168</v>
      </c>
      <c r="G145" s="1" t="s">
        <v>57</v>
      </c>
      <c r="H145" s="1" t="s">
        <v>2213</v>
      </c>
      <c r="I145" s="1" t="s">
        <v>2214</v>
      </c>
      <c r="J145" s="1" t="s">
        <v>2215</v>
      </c>
      <c r="L145" s="1" t="s">
        <v>2216</v>
      </c>
      <c r="M145" s="1" t="s">
        <v>2217</v>
      </c>
      <c r="Q145" s="1" t="s">
        <v>2218</v>
      </c>
      <c r="AT145" s="1" t="s">
        <v>57</v>
      </c>
      <c r="AU145" s="1" t="s">
        <v>2174</v>
      </c>
      <c r="CA145" s="1">
        <v>14</v>
      </c>
      <c r="CB145" s="1">
        <v>6</v>
      </c>
      <c r="CC145" s="1" t="s">
        <v>2219</v>
      </c>
      <c r="CD145" s="1">
        <v>0</v>
      </c>
      <c r="CE145" s="1">
        <v>0</v>
      </c>
      <c r="CG145" s="1">
        <v>0</v>
      </c>
      <c r="CH145" s="1">
        <v>0</v>
      </c>
      <c r="CJ145" s="1">
        <v>0</v>
      </c>
      <c r="CK145" s="1">
        <v>0</v>
      </c>
      <c r="CM145" s="1">
        <v>0</v>
      </c>
      <c r="CN145" s="1">
        <v>0</v>
      </c>
      <c r="CP145" s="1">
        <v>0</v>
      </c>
      <c r="CQ145" s="1">
        <v>0</v>
      </c>
    </row>
    <row r="146" spans="1:95" x14ac:dyDescent="0.3">
      <c r="A146" s="1">
        <v>14</v>
      </c>
      <c r="B146" s="1">
        <v>7</v>
      </c>
      <c r="C146" s="1" t="s">
        <v>2196</v>
      </c>
      <c r="D146" s="1">
        <v>6</v>
      </c>
      <c r="F146" s="1" t="s">
        <v>2168</v>
      </c>
      <c r="G146" s="1" t="s">
        <v>231</v>
      </c>
      <c r="H146" s="1" t="s">
        <v>2220</v>
      </c>
      <c r="I146" s="1" t="s">
        <v>2221</v>
      </c>
      <c r="J146" s="1" t="s">
        <v>2222</v>
      </c>
      <c r="L146" s="1" t="s">
        <v>2223</v>
      </c>
      <c r="M146" s="1" t="s">
        <v>2224</v>
      </c>
      <c r="Q146" s="1" t="s">
        <v>2225</v>
      </c>
      <c r="AT146" s="1" t="s">
        <v>57</v>
      </c>
      <c r="AU146" s="1" t="s">
        <v>2180</v>
      </c>
      <c r="CA146" s="1">
        <v>13</v>
      </c>
      <c r="CB146" s="1">
        <v>6</v>
      </c>
      <c r="CC146" s="1" t="s">
        <v>2226</v>
      </c>
      <c r="CD146" s="1">
        <v>0</v>
      </c>
      <c r="CE146" s="1">
        <v>0</v>
      </c>
      <c r="CG146" s="1">
        <v>0</v>
      </c>
      <c r="CH146" s="1">
        <v>0</v>
      </c>
      <c r="CJ146" s="1">
        <v>0</v>
      </c>
      <c r="CK146" s="1">
        <v>0</v>
      </c>
      <c r="CM146" s="1">
        <v>0</v>
      </c>
      <c r="CN146" s="1">
        <v>0</v>
      </c>
      <c r="CP146" s="1">
        <v>0</v>
      </c>
      <c r="CQ146" s="1">
        <v>0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AFD34-A40A-4B8D-83FA-3A45F37F8E6D}">
  <dimension ref="A1:AZ18"/>
  <sheetViews>
    <sheetView tabSelected="1" workbookViewId="0">
      <selection activeCell="Q30" sqref="Q30"/>
    </sheetView>
  </sheetViews>
  <sheetFormatPr defaultColWidth="9" defaultRowHeight="14" x14ac:dyDescent="0.3"/>
  <cols>
    <col min="1" max="1" width="9.5" style="5" bestFit="1" customWidth="1"/>
    <col min="2" max="2" width="8.58203125" style="5" bestFit="1" customWidth="1"/>
    <col min="3" max="3" width="11.75" style="5" bestFit="1" customWidth="1"/>
    <col min="4" max="4" width="9.5" style="5" bestFit="1" customWidth="1"/>
    <col min="5" max="5" width="8.58203125" style="5" bestFit="1" customWidth="1"/>
    <col min="6" max="6" width="11.75" style="5" bestFit="1" customWidth="1"/>
    <col min="7" max="7" width="3.5" style="5" bestFit="1" customWidth="1"/>
    <col min="8" max="8" width="3.08203125" style="5" bestFit="1" customWidth="1"/>
    <col min="9" max="9" width="11.25" style="5" bestFit="1" customWidth="1"/>
    <col min="10" max="10" width="5.75" style="5" bestFit="1" customWidth="1"/>
    <col min="11" max="11" width="6.5" style="5" bestFit="1" customWidth="1"/>
    <col min="12" max="12" width="5.75" style="5" bestFit="1" customWidth="1"/>
    <col min="13" max="13" width="11.5" style="5" bestFit="1" customWidth="1"/>
    <col min="14" max="14" width="16" style="5" bestFit="1" customWidth="1"/>
    <col min="15" max="15" width="13.58203125" style="5" bestFit="1" customWidth="1"/>
    <col min="16" max="16" width="13" style="5" bestFit="1" customWidth="1"/>
    <col min="17" max="17" width="12.25" style="5" bestFit="1" customWidth="1"/>
    <col min="18" max="18" width="9" style="5"/>
    <col min="19" max="50" width="0" style="5" hidden="1" customWidth="1"/>
    <col min="51" max="16384" width="9" style="5"/>
  </cols>
  <sheetData>
    <row r="1" spans="1:52" s="3" customFormat="1" x14ac:dyDescent="0.3">
      <c r="A1" s="2" t="s">
        <v>2228</v>
      </c>
      <c r="B1" s="2" t="s">
        <v>2229</v>
      </c>
      <c r="C1" s="2" t="s">
        <v>2230</v>
      </c>
      <c r="D1" s="2" t="s">
        <v>2231</v>
      </c>
      <c r="E1" s="2" t="s">
        <v>2232</v>
      </c>
      <c r="F1" s="2" t="s">
        <v>2233</v>
      </c>
      <c r="G1" s="2" t="s">
        <v>2234</v>
      </c>
      <c r="H1" s="2" t="s">
        <v>2235</v>
      </c>
      <c r="I1" s="2" t="s">
        <v>2236</v>
      </c>
      <c r="J1" s="2" t="s">
        <v>2237</v>
      </c>
      <c r="K1" s="2" t="s">
        <v>2238</v>
      </c>
      <c r="L1" s="2" t="s">
        <v>2239</v>
      </c>
      <c r="M1" s="2" t="s">
        <v>2240</v>
      </c>
      <c r="N1" s="3" t="s">
        <v>2241</v>
      </c>
      <c r="O1" s="3" t="s">
        <v>7</v>
      </c>
      <c r="P1" s="3" t="s">
        <v>8</v>
      </c>
      <c r="Q1" s="3" t="s">
        <v>9</v>
      </c>
      <c r="AZ1" s="2" t="s">
        <v>2242</v>
      </c>
    </row>
    <row r="2" spans="1:52" s="2" customFormat="1" x14ac:dyDescent="0.3">
      <c r="A2" s="2" t="s">
        <v>2228</v>
      </c>
      <c r="B2" s="2" t="s">
        <v>2229</v>
      </c>
      <c r="C2" s="2" t="s">
        <v>2243</v>
      </c>
      <c r="D2" s="2" t="s">
        <v>2231</v>
      </c>
      <c r="E2" s="2" t="s">
        <v>2232</v>
      </c>
      <c r="F2" s="2" t="s">
        <v>2244</v>
      </c>
      <c r="G2" s="2" t="s">
        <v>2234</v>
      </c>
      <c r="H2" s="2" t="s">
        <v>2235</v>
      </c>
      <c r="I2" s="2" t="s">
        <v>2236</v>
      </c>
      <c r="J2" s="2" t="s">
        <v>2237</v>
      </c>
      <c r="K2" s="2" t="s">
        <v>2238</v>
      </c>
      <c r="L2" s="2" t="s">
        <v>2239</v>
      </c>
      <c r="M2" s="2" t="s">
        <v>2240</v>
      </c>
      <c r="N2" s="2" t="s">
        <v>2245</v>
      </c>
      <c r="O2" s="2" t="s">
        <v>2246</v>
      </c>
      <c r="P2" s="2" t="s">
        <v>2247</v>
      </c>
      <c r="Q2" s="2" t="s">
        <v>2248</v>
      </c>
      <c r="AZ2" s="2" t="s">
        <v>2242</v>
      </c>
    </row>
    <row r="3" spans="1:52" s="4" customFormat="1" x14ac:dyDescent="0.3">
      <c r="A3" s="4">
        <f>MAX(IFERROR(MATCH(I3,[1]BALLNAME289_head!$B$2:$B$23,0),0),IFERROR(MATCH(I3,[1]BALLNAME289_head!$C$2:$C$22,0),0),IFERROR(MATCH(I3,[1]BALLNAME289_head!$D$2:$D$23,0),0),IFERROR(MATCH(I3,[1]BALLNAME289_head!$E$19:$E$22,0),0),IFERROR(MATCH(I3,[1]BALLNAME289_head!$F$2:$F$21,0),0),IFERROR(MATCH(I3,[1]BALLNAME289_head!$G$2:$G$19,0),0),IFERROR(MATCH(I3,[1]BALLNAME289_head!$H$2:$H$21,0),0),IFERROR(MATCH(I3,[1]BALLNAME289_head!$I$2:$I$19,0),0),IFERROR(MATCH(I3,[1]BALLNAME289_head!$J$2:$J$23,0),0),IFERROR(MATCH(I3,[1]BALLNAME289_head!$K$2:$K$23,0),0),IFERROR(MATCH(I3,[1]BALLNAME289_head!$L$2:$L$22,0),0),IFERROR(MATCH(I3,[1]BALLNAME289_head!$M$2:$M$23,0),0),IFERROR(MATCH(I3,[1]BALLNAME289_head!$N$2:$N$23,0),0),IFERROR(MATCH(I3,[1]BALLNAME289_head!$O$2:$O$19,0),0),IFERROR(MATCH(I3,[1]BALLNAME289_head!#REF!,0),0),IFERROR(MATCH(I3,[1]BALLNAME289_head!$Q$2:$Q$19,0),0),IFERROR(MATCH(I3,[1]BALLNAME289_head!$R$2:$R$19,0),0),IFERROR(MATCH(I3,[1]BALLNAME289_head!$S$2:$S$22,0),0),IFERROR(MATCH(I3,[1]BALLNAME289_head!$T$2:$T$22,0),0),IFERROR(MATCH(I3,[1]BALLNAME289_head!$AA$2:$AA$27,0),0),IFERROR(MATCH(I3,[1]BALLNAME289_head!$AB$2:$AB$27,0),0),IFERROR(MATCH(I3,[1]BALLNAME289_head!$AC$2:$AC$27,0),0))</f>
        <v>16</v>
      </c>
      <c r="B3" s="4">
        <f>MAX(IFERROR(MATCH(I3,[1]BALLNAME289_head!$B$2:$AA$2,0),0),IFERROR(MATCH(I3,[1]BALLNAME289_head!$B$3:$AA$3,0),0),IFERROR(MATCH(I3,[1]BALLNAME289_head!$B$4:$AA$4,0),0),IFERROR(MATCH(I3,[1]BALLNAME289_head!$B$5:$S$5,0),0),IFERROR(MATCH(I3,[1]BALLNAME289_head!$B$6:$AA$6,0),0),IFERROR(MATCH(I3,[1]BALLNAME289_head!$B$7:$S$7,0),0),IFERROR(MATCH(I3,[1]BALLNAME289_head!$B$8:$T$8,0),0),IFERROR(MATCH(I3,[1]BALLNAME289_head!$B$9:$T$9,0),0),IFERROR(MATCH(I3,[1]BALLNAME289_head!$B$10:$AC$10,0),0),IFERROR(MATCH(I3,[1]BALLNAME289_head!$B$11:$AC$11,0),0),IFERROR(MATCH(I3,[1]BALLNAME289_head!$B$12:$AC$12,0),0),IFERROR(MATCH(I3,[1]BALLNAME289_head!$B$13:$V$13,0),0),IFERROR(MATCH(I3,[1]BALLNAME289_head!$B$14:$AA$14,0),0),IFERROR(MATCH(I3,[1]BALLNAME289_head!$B$15:$AA$15,0),0),IFERROR(MATCH(I3,[1]BALLNAME289_head!#REF!,0),0),IFERROR(MATCH(I3,[1]BALLNAME289_head!#REF!,0),0),IFERROR(MATCH(I3,[1]BALLNAME289_head!#REF!,0),0),IFERROR(MATCH(I3,[1]BALLNAME289_head!$B$19:$AA$19,0),0),IFERROR(MATCH(I3,[1]BALLNAME289_head!$B$20:$AA$20,0),0),IFERROR(MATCH(I3,[1]BALLNAME289_head!$B$21:$Z$21,0),0),IFERROR(MATCH(I3,[1]BALLNAME289_head!$B$22:$J$22,0),0),IFERROR(MATCH(I3,[1]BALLNAME289_head!$B$23:$Z$23,0),0))</f>
        <v>0</v>
      </c>
      <c r="C3" s="4" t="str">
        <f ca="1">OFFSET([1]BALLNAME289_head!$A$2,[1]PINMUX!CM3-1,0)&amp;OFFSET([1]BALLNAME289_head!$B$1,0,[1]PINMUX!CN3-1)</f>
        <v>D2</v>
      </c>
      <c r="D3" s="4">
        <f>MAX(IFERROR(MATCH(I3,[1]BALLNAME289!$B$2:$B$60,0),0),IFERROR(MATCH(I3,[1]BALLNAME289!$C$2:$C$60,0),0),IFERROR(MATCH(I3,[1]BALLNAME289!$D$2:$D$60,0),0),IFERROR(MATCH(I3,[1]BALLNAME289!$E$2:$E$60,0),0),IFERROR(MATCH(I3,[1]BALLNAME289!$F$2:$F$60,0),0),IFERROR(MATCH(I3,[1]BALLNAME289!$G$2:$G$60,0),0),IFERROR(MATCH(I3,[1]BALLNAME289!$H$2:$H$60,0),0),IFERROR(MATCH(I3,[1]BALLNAME289!$I$2:$I$60,0),0),IFERROR(MATCH(I3,[1]BALLNAME289!$J$2:$J$60,0),0),IFERROR(MATCH(I3,[1]BALLNAME289!$K$2:$K$60,0),0),IFERROR(MATCH(I3,[1]BALLNAME289!$L$2:$L$60,0),0),IFERROR(MATCH(I3,[1]BALLNAME289!$M$2:$M$60,0),0),IFERROR(MATCH(I3,[1]BALLNAME289!$N$2:$N$60,0),0),IFERROR(MATCH(I3,[1]BALLNAME289!$O$2:$O$60,0),0),IFERROR(MATCH(I3,[1]BALLNAME289!$P$2:$P$60,0),0),IFERROR(MATCH(I3,[1]BALLNAME289!$Q$2:$Q$60,0),0),IFERROR(MATCH(I3,[1]BALLNAME289!$R$2:$R$60,0),0),IFERROR(MATCH(I3,[1]BALLNAME289!$S$2:$S$60,0),0),IFERROR(MATCH(I3,[1]BALLNAME289!$T$2:$T$60,0),0),IFERROR(MATCH(I3,[1]BALLNAME289!$U$2:$U$60,0),0),IFERROR(MATCH(I3,[1]BALLNAME289!$V$2:$V$60,0),0),IFERROR(MATCH(I3,[1]BALLNAME289!$W$2:$W$60,0),0),IFERROR(MATCH(I3,[1]BALLNAME289!$X$2:$X$60,0),0),IFERROR(MATCH(I3,[1]BALLNAME289!$Y$2:$Y$60,0),0),IFERROR(MATCH(I3,[1]BALLNAME289!$Z$2:$Z$60,0),0),IFERROR(MATCH(I3,[1]BALLNAME289!$AA$2:$AA$60,0),0),IFERROR(MATCH(I3,[1]BALLNAME289!$AB$2:$AB$60,0),0),IFERROR(MATCH(I3,[1]BALLNAME289!$AC$2:$AC$60,0),0),IFERROR(MATCH(I3,[1]BALLNAME289!$AD$2:$AD$60,0),0),IFERROR(MATCH(I3,[1]BALLNAME289!$AE$2:$AE$60,0),0),IFERROR(MATCH(I3,[1]BALLNAME289!$AF$2:$AF$60,0),0),IFERROR(MATCH(I3,[1]BALLNAME289!$AG$2:$AG$60,0),0),IFERROR(MATCH(I3,[1]BALLNAME289!$AH$2:$AH$60,0),0),IFERROR(MATCH(I3,[1]BALLNAME289!$AI$2:$AI$60,0),0),IFERROR(MATCH(I3,[1]BALLNAME289!$AJ$2:$AJ$60,0),0),IFERROR(MATCH(I3,[1]BALLNAME289!$AK$2:$AK$60,0),0),IFERROR(MATCH(I3,[1]BALLNAME289!$AL$2:$AL$60,0),0),IFERROR(MATCH(I3,[1]BALLNAME289!$AM$2:$AM$60,0),0),IFERROR(MATCH(I3,[1]BALLNAME289!$AN$2:$AN$60,0),0),IFERROR(MATCH(I3,[1]BALLNAME289!$AO$2:$AO$60,0),0),IFERROR(MATCH(I3,[1]BALLNAME289!$AP$2:$AP$60,0),0),IFERROR(MATCH(I3,[1]BALLNAME289!$AQ$2:$AQ$60,0),0),IFERROR(MATCH(I3,[1]BALLNAME289!$AR$2:$AR$60,0),0),IFERROR(MATCH(I3,[1]BALLNAME289!$AS$2:$AS$60,0),0),IFERROR(MATCH(I3,[1]BALLNAME289!$AT$2:$AT$60,0),0),IFERROR(MATCH(I3,[1]BALLNAME289!$AU$2:$AU$60,0),0),IFERROR(MATCH(I3,[1]BALLNAME289!$AV$2:$AV$60,0),0),IFERROR(MATCH(I3,[1]BALLNAME289!$AW$2:$AW$60,0),0),IFERROR(MATCH(I3,[1]BALLNAME289!$AX$2:$AX$60,0),0),IFERROR(MATCH(I3,[1]BALLNAME289!$AY$2:$AY$60,0),0),IFERROR(MATCH(I3,[1]BALLNAME289!$AZ$2:$AZ$60,0),0))</f>
        <v>16</v>
      </c>
      <c r="E3" s="4">
        <f>MAX(IFERROR(MATCH(I3,[1]BALLNAME289!$B$2:$AZ$2,0),0),IFERROR(MATCH(I3,[1]BALLNAME289!$B$3:$AZ$3,0),0),IFERROR(MATCH(I3,[1]BALLNAME289!$B$4:$AZ$4,0),0),IFERROR(MATCH(I3,[1]BALLNAME289!$B$5:$AZ$5,0),0),IFERROR(MATCH(I3,[1]BALLNAME289!$B$6:$AZ$6,0),0),IFERROR(MATCH(I3,[1]BALLNAME289!$B$7:$AZ$7,0),0),IFERROR(MATCH(I3,[1]BALLNAME289!$B$8:$AZ$8,0),0),IFERROR(MATCH(I3,[1]BALLNAME289!$B$9:$AZ$9,0),0),IFERROR(MATCH(I3,[1]BALLNAME289!$B$10:$AZ$10,0),0),IFERROR(MATCH(I3,[1]BALLNAME289!$B$11:$AZ$11,0),0),IFERROR(MATCH(I3,[1]BALLNAME289!$B$12:$AZ$12,0),0),IFERROR(MATCH(I3,[1]BALLNAME289!$B$13:$AZ$13,0),0),IFERROR(MATCH(I3,[1]BALLNAME289!$B$14:$AZ$14,0),0),IFERROR(MATCH(I3,[1]BALLNAME289!$B$15:$AZ$15,0),0),IFERROR(MATCH(I3,[1]BALLNAME289!$B$16:$AZ$16,0),0),IFERROR(MATCH(I3,[1]BALLNAME289!$B$17:$AZ$17,0),0),IFERROR(MATCH(I3,[1]BALLNAME289!$B$18:$AZ$18,0),0),IFERROR(MATCH(I3,[1]BALLNAME289!$B$19:$AZ$19,0),0),IFERROR(MATCH(I3,[1]BALLNAME289!$B$20:$AZ$20,0),0),IFERROR(MATCH(I3,[1]BALLNAME289!$B$21:$AZ$21,0),0),IFERROR(MATCH(I3,[1]BALLNAME289!$B$22:$AZ$22,0),0),IFERROR(MATCH(I3,[1]BALLNAME289!$B$23:$AZ$23,0),0),IFERROR(MATCH(I3,[1]BALLNAME289!$B$24:$AZ$24,0),0),IFERROR(MATCH(I3,[1]BALLNAME289!$B$25:$AZ$25,0),0),IFERROR(MATCH(I3,[1]BALLNAME289!$B$26:$AZ$26,0),0),IFERROR(MATCH(I3,[1]BALLNAME289!$B$27:$AZ$27,0),0),IFERROR(MATCH(I3,[1]BALLNAME289!$B$28:$AZ$28,0),0),IFERROR(MATCH(I3,[1]BALLNAME289!$B$29:$AZ$29,0),0),IFERROR(MATCH(I3,[1]BALLNAME289!$B$30:$AZ$30,0),0),IFERROR(MATCH(I3,[1]BALLNAME289!$B$31:$AZ$31,0),0),IFERROR(MATCH(I3,[1]BALLNAME289!$B$32:$AZ$32,0),0),IFERROR(MATCH(I3,[1]BALLNAME289!$B$33:$AZ$33,0),0),IFERROR(MATCH(I3,[1]BALLNAME289!$B$34:$AZ$34,0),0),IFERROR(MATCH(I3,[1]BALLNAME289!$B$35:$AZ$35,0),0),IFERROR(MATCH(I3,[1]BALLNAME289!$B$36:$AZ$36,0),0),IFERROR(MATCH(I3,[1]BALLNAME289!$B$37:$AZ$37,0),0),IFERROR(MATCH(I3,[1]BALLNAME289!$B$38:$AZ$38,0),0),IFERROR(MATCH(I3,[1]BALLNAME289!$B$39:$AZ$39,0),0),IFERROR(MATCH(I3,[1]BALLNAME289!$B$40:$AZ$40,0),0),IFERROR(MATCH(I3,[1]BALLNAME289!$B$41:$AZ$41,0),0),IFERROR(MATCH(I3,[1]BALLNAME289!$B$42:$AZ$42,0),0),IFERROR(MATCH(I3,[1]BALLNAME289!$B$43:$AZ$43,0),0),IFERROR(MATCH(I3,[1]BALLNAME289!$B$44:$AZ$44,0),0),IFERROR(MATCH(I3,[1]BALLNAME289!$B$45:$AZ$45,0),0),IFERROR(MATCH(I3,[1]BALLNAME289!$B$46:$AZ$46,0),0),IFERROR(MATCH(I3,[1]BALLNAME289!$B$47:$AZ$47,0),0),IFERROR(MATCH(I3,[1]BALLNAME289!$B$48:$AZ$48,0),0),IFERROR(MATCH(I3,[1]BALLNAME289!$B$49:$AZ$49,0),0),IFERROR(MATCH(I3,[1]BALLNAME289!$B$50:$AZ$50,0),0),IFERROR(MATCH(I3,[1]BALLNAME289!$B$51:$AZ$51,0),0),IFERROR(MATCH(I3,[1]BALLNAME289!$B$52:$AZ$52,0),0),IFERROR(MATCH(I3,[1]BALLNAME289!$B$53:$AZ$53,0),0),IFERROR(MATCH(I3,[1]BALLNAME289!$B$54:$AZ$54,0),0),IFERROR(MATCH(I3,[1]BALLNAME289!$B$55:$AZ$55,0),0),IFERROR(MATCH(I3,[1]BALLNAME289!$B$56:$AZ$56,0),0),IFERROR(MATCH(I3,[1]BALLNAME289!$B$57:$AZ$57,0),0),IFERROR(MATCH(I3,[1]BALLNAME289!$B$58:$AZ$58,0),0),IFERROR(MATCH(I3,[1]BALLNAME289!$B$59:$AZ$59,0),0),IFERROR(MATCH(I3,[1]BALLNAME289!$B$60:$AZ$60,0),0))</f>
        <v>8</v>
      </c>
      <c r="F3" s="4" t="str">
        <f ca="1">OFFSET([1]BALLNAME144!$A$2,D3-1,0)&amp;OFFSET([1]BALLNAME144!$B$1,0,E3-1)</f>
        <v>8</v>
      </c>
      <c r="G3" s="4">
        <f>D3+1</f>
        <v>17</v>
      </c>
      <c r="H3" s="4">
        <f>E3+1</f>
        <v>9</v>
      </c>
      <c r="I3" s="4" t="s">
        <v>2249</v>
      </c>
      <c r="J3" s="4">
        <v>4</v>
      </c>
      <c r="K3" s="4" t="s">
        <v>2168</v>
      </c>
      <c r="L3" s="4" t="s">
        <v>57</v>
      </c>
      <c r="N3" s="4" t="s">
        <v>2260</v>
      </c>
      <c r="O3" s="4" t="s">
        <v>2261</v>
      </c>
      <c r="P3" s="4" t="s">
        <v>2262</v>
      </c>
      <c r="Q3" s="4" t="s">
        <v>2263</v>
      </c>
      <c r="AZ3" s="4" t="s">
        <v>2245</v>
      </c>
    </row>
    <row r="4" spans="1:52" s="4" customFormat="1" x14ac:dyDescent="0.3">
      <c r="A4" s="4">
        <f>MAX(IFERROR(MATCH(I4,[1]BALLNAME289_head!$B$2:$B$23,0),0),IFERROR(MATCH(I4,[1]BALLNAME289_head!$C$2:$C$22,0),0),IFERROR(MATCH(I4,[1]BALLNAME289_head!$D$2:$D$23,0),0),IFERROR(MATCH(I4,[1]BALLNAME289_head!$E$19:$E$22,0),0),IFERROR(MATCH(I4,[1]BALLNAME289_head!$F$2:$F$21,0),0),IFERROR(MATCH(I4,[1]BALLNAME289_head!$G$2:$G$19,0),0),IFERROR(MATCH(I4,[1]BALLNAME289_head!$H$2:$H$21,0),0),IFERROR(MATCH(I4,[1]BALLNAME289_head!$I$2:$I$19,0),0),IFERROR(MATCH(I4,[1]BALLNAME289_head!$J$2:$J$23,0),0),IFERROR(MATCH(I4,[1]BALLNAME289_head!$K$2:$K$23,0),0),IFERROR(MATCH(I4,[1]BALLNAME289_head!$L$2:$L$22,0),0),IFERROR(MATCH(I4,[1]BALLNAME289_head!$M$2:$M$23,0),0),IFERROR(MATCH(I4,[1]BALLNAME289_head!$N$2:$N$23,0),0),IFERROR(MATCH(I4,[1]BALLNAME289_head!$O$2:$O$19,0),0),IFERROR(MATCH(I4,[1]BALLNAME289_head!#REF!,0),0),IFERROR(MATCH(I4,[1]BALLNAME289_head!$Q$2:$Q$19,0),0),IFERROR(MATCH(I4,[1]BALLNAME289_head!$R$2:$R$19,0),0),IFERROR(MATCH(I4,[1]BALLNAME289_head!$S$2:$S$22,0),0),IFERROR(MATCH(I4,[1]BALLNAME289_head!$T$2:$T$22,0),0),IFERROR(MATCH(I4,[1]BALLNAME289_head!$AA$2:$AA$27,0),0),IFERROR(MATCH(I4,[1]BALLNAME289_head!$AB$2:$AB$27,0),0),IFERROR(MATCH(I4,[1]BALLNAME289_head!$AC$2:$AC$27,0),0))</f>
        <v>15</v>
      </c>
      <c r="B4" s="4">
        <f>MAX(IFERROR(MATCH(I4,[1]BALLNAME289_head!$B$2:$AA$2,0),0),IFERROR(MATCH(I4,[1]BALLNAME289_head!$B$3:$AA$3,0),0),IFERROR(MATCH(I4,[1]BALLNAME289_head!$B$4:$AA$4,0),0),IFERROR(MATCH(I4,[1]BALLNAME289_head!$B$5:$S$5,0),0),IFERROR(MATCH(I4,[1]BALLNAME289_head!$B$6:$AA$6,0),0),IFERROR(MATCH(I4,[1]BALLNAME289_head!$B$7:$S$7,0),0),IFERROR(MATCH(I4,[1]BALLNAME289_head!$B$8:$T$8,0),0),IFERROR(MATCH(I4,[1]BALLNAME289_head!$B$9:$T$9,0),0),IFERROR(MATCH(I4,[1]BALLNAME289_head!$B$10:$AC$10,0),0),IFERROR(MATCH(I4,[1]BALLNAME289_head!$B$11:$AC$11,0),0),IFERROR(MATCH(I4,[1]BALLNAME289_head!$B$12:$AC$12,0),0),IFERROR(MATCH(I4,[1]BALLNAME289_head!$B$13:$V$13,0),0),IFERROR(MATCH(I4,[1]BALLNAME289_head!$B$14:$AA$14,0),0),IFERROR(MATCH(I4,[1]BALLNAME289_head!$B$15:$AA$15,0),0),IFERROR(MATCH(I4,[1]BALLNAME289_head!#REF!,0),0),IFERROR(MATCH(I4,[1]BALLNAME289_head!#REF!,0),0),IFERROR(MATCH(I4,[1]BALLNAME289_head!#REF!,0),0),IFERROR(MATCH(I4,[1]BALLNAME289_head!$B$19:$AA$19,0),0),IFERROR(MATCH(I4,[1]BALLNAME289_head!$B$20:$AA$20,0),0),IFERROR(MATCH(I4,[1]BALLNAME289_head!$B$21:$Z$21,0),0),IFERROR(MATCH(I4,[1]BALLNAME289_head!$B$22:$J$22,0),0),IFERROR(MATCH(I4,[1]BALLNAME289_head!$B$23:$Z$23,0),0))</f>
        <v>0</v>
      </c>
      <c r="C4" s="4" t="str">
        <f ca="1">OFFSET([1]BALLNAME289_head!$A$2,[1]PINMUX!CM4-1,0)&amp;OFFSET([1]BALLNAME289_head!$B$1,0,[1]PINMUX!CN4-1)</f>
        <v>G3</v>
      </c>
      <c r="D4" s="4">
        <f>MAX(IFERROR(MATCH(I4,[1]BALLNAME289!$B$2:$B$60,0),0),IFERROR(MATCH(I4,[1]BALLNAME289!$C$2:$C$60,0),0),IFERROR(MATCH(I4,[1]BALLNAME289!$D$2:$D$60,0),0),IFERROR(MATCH(I4,[1]BALLNAME289!$E$2:$E$60,0),0),IFERROR(MATCH(I4,[1]BALLNAME289!$F$2:$F$60,0),0),IFERROR(MATCH(I4,[1]BALLNAME289!$G$2:$G$60,0),0),IFERROR(MATCH(I4,[1]BALLNAME289!$H$2:$H$60,0),0),IFERROR(MATCH(I4,[1]BALLNAME289!$I$2:$I$60,0),0),IFERROR(MATCH(I4,[1]BALLNAME289!$J$2:$J$60,0),0),IFERROR(MATCH(I4,[1]BALLNAME289!$K$2:$K$60,0),0),IFERROR(MATCH(I4,[1]BALLNAME289!$L$2:$L$60,0),0),IFERROR(MATCH(I4,[1]BALLNAME289!$M$2:$M$60,0),0),IFERROR(MATCH(I4,[1]BALLNAME289!$N$2:$N$60,0),0),IFERROR(MATCH(I4,[1]BALLNAME289!$O$2:$O$60,0),0),IFERROR(MATCH(I4,[1]BALLNAME289!$P$2:$P$60,0),0),IFERROR(MATCH(I4,[1]BALLNAME289!$Q$2:$Q$60,0),0),IFERROR(MATCH(I4,[1]BALLNAME289!$R$2:$R$60,0),0),IFERROR(MATCH(I4,[1]BALLNAME289!$S$2:$S$60,0),0),IFERROR(MATCH(I4,[1]BALLNAME289!$T$2:$T$60,0),0),IFERROR(MATCH(I4,[1]BALLNAME289!$U$2:$U$60,0),0),IFERROR(MATCH(I4,[1]BALLNAME289!$V$2:$V$60,0),0),IFERROR(MATCH(I4,[1]BALLNAME289!$W$2:$W$60,0),0),IFERROR(MATCH(I4,[1]BALLNAME289!$X$2:$X$60,0),0),IFERROR(MATCH(I4,[1]BALLNAME289!$Y$2:$Y$60,0),0),IFERROR(MATCH(I4,[1]BALLNAME289!$Z$2:$Z$60,0),0),IFERROR(MATCH(I4,[1]BALLNAME289!$AA$2:$AA$60,0),0),IFERROR(MATCH(I4,[1]BALLNAME289!$AB$2:$AB$60,0),0),IFERROR(MATCH(I4,[1]BALLNAME289!$AC$2:$AC$60,0),0),IFERROR(MATCH(I4,[1]BALLNAME289!$AD$2:$AD$60,0),0),IFERROR(MATCH(I4,[1]BALLNAME289!$AE$2:$AE$60,0),0),IFERROR(MATCH(I4,[1]BALLNAME289!$AF$2:$AF$60,0),0),IFERROR(MATCH(I4,[1]BALLNAME289!$AG$2:$AG$60,0),0),IFERROR(MATCH(I4,[1]BALLNAME289!$AH$2:$AH$60,0),0),IFERROR(MATCH(I4,[1]BALLNAME289!$AI$2:$AI$60,0),0),IFERROR(MATCH(I4,[1]BALLNAME289!$AJ$2:$AJ$60,0),0),IFERROR(MATCH(I4,[1]BALLNAME289!$AK$2:$AK$60,0),0),IFERROR(MATCH(I4,[1]BALLNAME289!$AL$2:$AL$60,0),0),IFERROR(MATCH(I4,[1]BALLNAME289!$AM$2:$AM$60,0),0),IFERROR(MATCH(I4,[1]BALLNAME289!$AN$2:$AN$60,0),0),IFERROR(MATCH(I4,[1]BALLNAME289!$AO$2:$AO$60,0),0),IFERROR(MATCH(I4,[1]BALLNAME289!$AP$2:$AP$60,0),0),IFERROR(MATCH(I4,[1]BALLNAME289!$AQ$2:$AQ$60,0),0),IFERROR(MATCH(I4,[1]BALLNAME289!$AR$2:$AR$60,0),0),IFERROR(MATCH(I4,[1]BALLNAME289!$AS$2:$AS$60,0),0),IFERROR(MATCH(I4,[1]BALLNAME289!$AT$2:$AT$60,0),0),IFERROR(MATCH(I4,[1]BALLNAME289!$AU$2:$AU$60,0),0),IFERROR(MATCH(I4,[1]BALLNAME289!$AV$2:$AV$60,0),0),IFERROR(MATCH(I4,[1]BALLNAME289!$AW$2:$AW$60,0),0),IFERROR(MATCH(I4,[1]BALLNAME289!$AX$2:$AX$60,0),0),IFERROR(MATCH(I4,[1]BALLNAME289!$AY$2:$AY$60,0),0),IFERROR(MATCH(I4,[1]BALLNAME289!$AZ$2:$AZ$60,0),0))</f>
        <v>15</v>
      </c>
      <c r="E4" s="4">
        <f>MAX(IFERROR(MATCH(I4,[1]BALLNAME289!$B$2:$AZ$2,0),0),IFERROR(MATCH(I4,[1]BALLNAME289!$B$3:$AZ$3,0),0),IFERROR(MATCH(I4,[1]BALLNAME289!$B$4:$AZ$4,0),0),IFERROR(MATCH(I4,[1]BALLNAME289!$B$5:$AZ$5,0),0),IFERROR(MATCH(I4,[1]BALLNAME289!$B$6:$AZ$6,0),0),IFERROR(MATCH(I4,[1]BALLNAME289!$B$7:$AZ$7,0),0),IFERROR(MATCH(I4,[1]BALLNAME289!$B$8:$AZ$8,0),0),IFERROR(MATCH(I4,[1]BALLNAME289!$B$9:$AZ$9,0),0),IFERROR(MATCH(I4,[1]BALLNAME289!$B$10:$AZ$10,0),0),IFERROR(MATCH(I4,[1]BALLNAME289!$B$11:$AZ$11,0),0),IFERROR(MATCH(I4,[1]BALLNAME289!$B$12:$AZ$12,0),0),IFERROR(MATCH(I4,[1]BALLNAME289!$B$13:$AZ$13,0),0),IFERROR(MATCH(I4,[1]BALLNAME289!$B$14:$AZ$14,0),0),IFERROR(MATCH(I4,[1]BALLNAME289!$B$15:$AZ$15,0),0),IFERROR(MATCH(I4,[1]BALLNAME289!$B$16:$AZ$16,0),0),IFERROR(MATCH(I4,[1]BALLNAME289!$B$17:$AZ$17,0),0),IFERROR(MATCH(I4,[1]BALLNAME289!$B$18:$AZ$18,0),0),IFERROR(MATCH(I4,[1]BALLNAME289!$B$19:$AZ$19,0),0),IFERROR(MATCH(I4,[1]BALLNAME289!$B$20:$AZ$20,0),0),IFERROR(MATCH(I4,[1]BALLNAME289!$B$21:$AZ$21,0),0),IFERROR(MATCH(I4,[1]BALLNAME289!$B$22:$AZ$22,0),0),IFERROR(MATCH(I4,[1]BALLNAME289!$B$23:$AZ$23,0),0),IFERROR(MATCH(I4,[1]BALLNAME289!$B$24:$AZ$24,0),0),IFERROR(MATCH(I4,[1]BALLNAME289!$B$25:$AZ$25,0),0),IFERROR(MATCH(I4,[1]BALLNAME289!$B$26:$AZ$26,0),0),IFERROR(MATCH(I4,[1]BALLNAME289!$B$27:$AZ$27,0),0),IFERROR(MATCH(I4,[1]BALLNAME289!$B$28:$AZ$28,0),0),IFERROR(MATCH(I4,[1]BALLNAME289!$B$29:$AZ$29,0),0),IFERROR(MATCH(I4,[1]BALLNAME289!$B$30:$AZ$30,0),0),IFERROR(MATCH(I4,[1]BALLNAME289!$B$31:$AZ$31,0),0),IFERROR(MATCH(I4,[1]BALLNAME289!$B$32:$AZ$32,0),0),IFERROR(MATCH(I4,[1]BALLNAME289!$B$33:$AZ$33,0),0),IFERROR(MATCH(I4,[1]BALLNAME289!$B$34:$AZ$34,0),0),IFERROR(MATCH(I4,[1]BALLNAME289!$B$35:$AZ$35,0),0),IFERROR(MATCH(I4,[1]BALLNAME289!$B$36:$AZ$36,0),0),IFERROR(MATCH(I4,[1]BALLNAME289!$B$37:$AZ$37,0),0),IFERROR(MATCH(I4,[1]BALLNAME289!$B$38:$AZ$38,0),0),IFERROR(MATCH(I4,[1]BALLNAME289!$B$39:$AZ$39,0),0),IFERROR(MATCH(I4,[1]BALLNAME289!$B$40:$AZ$40,0),0),IFERROR(MATCH(I4,[1]BALLNAME289!$B$41:$AZ$41,0),0),IFERROR(MATCH(I4,[1]BALLNAME289!$B$42:$AZ$42,0),0),IFERROR(MATCH(I4,[1]BALLNAME289!$B$43:$AZ$43,0),0),IFERROR(MATCH(I4,[1]BALLNAME289!$B$44:$AZ$44,0),0),IFERROR(MATCH(I4,[1]BALLNAME289!$B$45:$AZ$45,0),0),IFERROR(MATCH(I4,[1]BALLNAME289!$B$46:$AZ$46,0),0),IFERROR(MATCH(I4,[1]BALLNAME289!$B$47:$AZ$47,0),0),IFERROR(MATCH(I4,[1]BALLNAME289!$B$48:$AZ$48,0),0),IFERROR(MATCH(I4,[1]BALLNAME289!$B$49:$AZ$49,0),0),IFERROR(MATCH(I4,[1]BALLNAME289!$B$50:$AZ$50,0),0),IFERROR(MATCH(I4,[1]BALLNAME289!$B$51:$AZ$51,0),0),IFERROR(MATCH(I4,[1]BALLNAME289!$B$52:$AZ$52,0),0),IFERROR(MATCH(I4,[1]BALLNAME289!$B$53:$AZ$53,0),0),IFERROR(MATCH(I4,[1]BALLNAME289!$B$54:$AZ$54,0),0),IFERROR(MATCH(I4,[1]BALLNAME289!$B$55:$AZ$55,0),0),IFERROR(MATCH(I4,[1]BALLNAME289!$B$56:$AZ$56,0),0),IFERROR(MATCH(I4,[1]BALLNAME289!$B$57:$AZ$57,0),0),IFERROR(MATCH(I4,[1]BALLNAME289!$B$58:$AZ$58,0),0),IFERROR(MATCH(I4,[1]BALLNAME289!$B$59:$AZ$59,0),0),IFERROR(MATCH(I4,[1]BALLNAME289!$B$60:$AZ$60,0),0))</f>
        <v>8</v>
      </c>
      <c r="F4" s="4" t="str">
        <f ca="1">OFFSET([1]BALLNAME144!$A$2,D4-1,0)&amp;OFFSET([1]BALLNAME144!$B$1,0,E4-1)</f>
        <v>8</v>
      </c>
      <c r="G4" s="4">
        <f t="shared" ref="G4:H18" si="0">D4+1</f>
        <v>16</v>
      </c>
      <c r="H4" s="4">
        <f t="shared" si="0"/>
        <v>9</v>
      </c>
      <c r="I4" s="4" t="s">
        <v>2174</v>
      </c>
      <c r="J4" s="4">
        <v>4</v>
      </c>
      <c r="K4" s="4" t="s">
        <v>2168</v>
      </c>
      <c r="L4" s="4" t="s">
        <v>57</v>
      </c>
      <c r="N4" s="4" t="s">
        <v>2264</v>
      </c>
      <c r="O4" s="4" t="s">
        <v>2265</v>
      </c>
      <c r="P4" s="4" t="s">
        <v>2266</v>
      </c>
      <c r="Q4" s="4" t="s">
        <v>2267</v>
      </c>
      <c r="AZ4" s="4" t="s">
        <v>2245</v>
      </c>
    </row>
    <row r="5" spans="1:52" s="4" customFormat="1" x14ac:dyDescent="0.3">
      <c r="A5" s="4">
        <f>MAX(IFERROR(MATCH(I5,[1]BALLNAME289_head!$B$2:$B$23,0),0),IFERROR(MATCH(I5,[1]BALLNAME289_head!$C$2:$C$22,0),0),IFERROR(MATCH(I5,[1]BALLNAME289_head!$D$2:$D$23,0),0),IFERROR(MATCH(I5,[1]BALLNAME289_head!$E$19:$E$22,0),0),IFERROR(MATCH(I5,[1]BALLNAME289_head!$F$2:$F$21,0),0),IFERROR(MATCH(I5,[1]BALLNAME289_head!$G$2:$G$19,0),0),IFERROR(MATCH(I5,[1]BALLNAME289_head!$H$2:$H$21,0),0),IFERROR(MATCH(I5,[1]BALLNAME289_head!$I$2:$I$19,0),0),IFERROR(MATCH(I5,[1]BALLNAME289_head!$J$2:$J$23,0),0),IFERROR(MATCH(I5,[1]BALLNAME289_head!$K$2:$K$23,0),0),IFERROR(MATCH(I5,[1]BALLNAME289_head!$L$2:$L$22,0),0),IFERROR(MATCH(I5,[1]BALLNAME289_head!$M$2:$M$23,0),0),IFERROR(MATCH(I5,[1]BALLNAME289_head!$N$2:$N$23,0),0),IFERROR(MATCH(I5,[1]BALLNAME289_head!$O$2:$O$19,0),0),IFERROR(MATCH(I5,[1]BALLNAME289_head!#REF!,0),0),IFERROR(MATCH(I5,[1]BALLNAME289_head!$Q$2:$Q$19,0),0),IFERROR(MATCH(I5,[1]BALLNAME289_head!$R$2:$R$19,0),0),IFERROR(MATCH(I5,[1]BALLNAME289_head!$S$2:$S$22,0),0),IFERROR(MATCH(I5,[1]BALLNAME289_head!$T$2:$T$22,0),0),IFERROR(MATCH(I5,[1]BALLNAME289_head!$AA$2:$AA$27,0),0),IFERROR(MATCH(I5,[1]BALLNAME289_head!$AB$2:$AB$27,0),0),IFERROR(MATCH(I5,[1]BALLNAME289_head!$AC$2:$AC$27,0),0))</f>
        <v>14</v>
      </c>
      <c r="B5" s="4">
        <f>MAX(IFERROR(MATCH(I5,[1]BALLNAME289_head!$B$2:$AA$2,0),0),IFERROR(MATCH(I5,[1]BALLNAME289_head!$B$3:$AA$3,0),0),IFERROR(MATCH(I5,[1]BALLNAME289_head!$B$4:$AA$4,0),0),IFERROR(MATCH(I5,[1]BALLNAME289_head!$B$5:$S$5,0),0),IFERROR(MATCH(I5,[1]BALLNAME289_head!$B$6:$AA$6,0),0),IFERROR(MATCH(I5,[1]BALLNAME289_head!$B$7:$S$7,0),0),IFERROR(MATCH(I5,[1]BALLNAME289_head!$B$8:$T$8,0),0),IFERROR(MATCH(I5,[1]BALLNAME289_head!$B$9:$T$9,0),0),IFERROR(MATCH(I5,[1]BALLNAME289_head!$B$10:$AC$10,0),0),IFERROR(MATCH(I5,[1]BALLNAME289_head!$B$11:$AC$11,0),0),IFERROR(MATCH(I5,[1]BALLNAME289_head!$B$12:$AC$12,0),0),IFERROR(MATCH(I5,[1]BALLNAME289_head!$B$13:$V$13,0),0),IFERROR(MATCH(I5,[1]BALLNAME289_head!$B$14:$AA$14,0),0),IFERROR(MATCH(I5,[1]BALLNAME289_head!$B$15:$AA$15,0),0),IFERROR(MATCH(I5,[1]BALLNAME289_head!#REF!,0),0),IFERROR(MATCH(I5,[1]BALLNAME289_head!#REF!,0),0),IFERROR(MATCH(I5,[1]BALLNAME289_head!#REF!,0),0),IFERROR(MATCH(I5,[1]BALLNAME289_head!$B$19:$AA$19,0),0),IFERROR(MATCH(I5,[1]BALLNAME289_head!$B$20:$AA$20,0),0),IFERROR(MATCH(I5,[1]BALLNAME289_head!$B$21:$Z$21,0),0),IFERROR(MATCH(I5,[1]BALLNAME289_head!$B$22:$J$22,0),0),IFERROR(MATCH(I5,[1]BALLNAME289_head!$B$23:$Z$23,0),0))</f>
        <v>8</v>
      </c>
      <c r="C5" s="4" t="str">
        <f ca="1">OFFSET([1]BALLNAME289_head!$A$2,[1]PINMUX!CM5-1,0)&amp;OFFSET([1]BALLNAME289_head!$B$1,0,[1]PINMUX!CN5-1)</f>
        <v>F3</v>
      </c>
      <c r="D5" s="4">
        <f>MAX(IFERROR(MATCH(I5,[1]BALLNAME289!$B$2:$B$60,0),0),IFERROR(MATCH(I5,[1]BALLNAME289!$C$2:$C$60,0),0),IFERROR(MATCH(I5,[1]BALLNAME289!$D$2:$D$60,0),0),IFERROR(MATCH(I5,[1]BALLNAME289!$E$2:$E$60,0),0),IFERROR(MATCH(I5,[1]BALLNAME289!$F$2:$F$60,0),0),IFERROR(MATCH(I5,[1]BALLNAME289!$G$2:$G$60,0),0),IFERROR(MATCH(I5,[1]BALLNAME289!$H$2:$H$60,0),0),IFERROR(MATCH(I5,[1]BALLNAME289!$I$2:$I$60,0),0),IFERROR(MATCH(I5,[1]BALLNAME289!$J$2:$J$60,0),0),IFERROR(MATCH(I5,[1]BALLNAME289!$K$2:$K$60,0),0),IFERROR(MATCH(I5,[1]BALLNAME289!$L$2:$L$60,0),0),IFERROR(MATCH(I5,[1]BALLNAME289!$M$2:$M$60,0),0),IFERROR(MATCH(I5,[1]BALLNAME289!$N$2:$N$60,0),0),IFERROR(MATCH(I5,[1]BALLNAME289!$O$2:$O$60,0),0),IFERROR(MATCH(I5,[1]BALLNAME289!$P$2:$P$60,0),0),IFERROR(MATCH(I5,[1]BALLNAME289!$Q$2:$Q$60,0),0),IFERROR(MATCH(I5,[1]BALLNAME289!$R$2:$R$60,0),0),IFERROR(MATCH(I5,[1]BALLNAME289!$S$2:$S$60,0),0),IFERROR(MATCH(I5,[1]BALLNAME289!$T$2:$T$60,0),0),IFERROR(MATCH(I5,[1]BALLNAME289!$U$2:$U$60,0),0),IFERROR(MATCH(I5,[1]BALLNAME289!$V$2:$V$60,0),0),IFERROR(MATCH(I5,[1]BALLNAME289!$W$2:$W$60,0),0),IFERROR(MATCH(I5,[1]BALLNAME289!$X$2:$X$60,0),0),IFERROR(MATCH(I5,[1]BALLNAME289!$Y$2:$Y$60,0),0),IFERROR(MATCH(I5,[1]BALLNAME289!$Z$2:$Z$60,0),0),IFERROR(MATCH(I5,[1]BALLNAME289!$AA$2:$AA$60,0),0),IFERROR(MATCH(I5,[1]BALLNAME289!$AB$2:$AB$60,0),0),IFERROR(MATCH(I5,[1]BALLNAME289!$AC$2:$AC$60,0),0),IFERROR(MATCH(I5,[1]BALLNAME289!$AD$2:$AD$60,0),0),IFERROR(MATCH(I5,[1]BALLNAME289!$AE$2:$AE$60,0),0),IFERROR(MATCH(I5,[1]BALLNAME289!$AF$2:$AF$60,0),0),IFERROR(MATCH(I5,[1]BALLNAME289!$AG$2:$AG$60,0),0),IFERROR(MATCH(I5,[1]BALLNAME289!$AH$2:$AH$60,0),0),IFERROR(MATCH(I5,[1]BALLNAME289!$AI$2:$AI$60,0),0),IFERROR(MATCH(I5,[1]BALLNAME289!$AJ$2:$AJ$60,0),0),IFERROR(MATCH(I5,[1]BALLNAME289!$AK$2:$AK$60,0),0),IFERROR(MATCH(I5,[1]BALLNAME289!$AL$2:$AL$60,0),0),IFERROR(MATCH(I5,[1]BALLNAME289!$AM$2:$AM$60,0),0),IFERROR(MATCH(I5,[1]BALLNAME289!$AN$2:$AN$60,0),0),IFERROR(MATCH(I5,[1]BALLNAME289!$AO$2:$AO$60,0),0),IFERROR(MATCH(I5,[1]BALLNAME289!$AP$2:$AP$60,0),0),IFERROR(MATCH(I5,[1]BALLNAME289!$AQ$2:$AQ$60,0),0),IFERROR(MATCH(I5,[1]BALLNAME289!$AR$2:$AR$60,0),0),IFERROR(MATCH(I5,[1]BALLNAME289!$AS$2:$AS$60,0),0),IFERROR(MATCH(I5,[1]BALLNAME289!$AT$2:$AT$60,0),0),IFERROR(MATCH(I5,[1]BALLNAME289!$AU$2:$AU$60,0),0),IFERROR(MATCH(I5,[1]BALLNAME289!$AV$2:$AV$60,0),0),IFERROR(MATCH(I5,[1]BALLNAME289!$AW$2:$AW$60,0),0),IFERROR(MATCH(I5,[1]BALLNAME289!$AX$2:$AX$60,0),0),IFERROR(MATCH(I5,[1]BALLNAME289!$AY$2:$AY$60,0),0),IFERROR(MATCH(I5,[1]BALLNAME289!$AZ$2:$AZ$60,0),0))</f>
        <v>14</v>
      </c>
      <c r="E5" s="4">
        <f>MAX(IFERROR(MATCH(I5,[1]BALLNAME289!$B$2:$AZ$2,0),0),IFERROR(MATCH(I5,[1]BALLNAME289!$B$3:$AZ$3,0),0),IFERROR(MATCH(I5,[1]BALLNAME289!$B$4:$AZ$4,0),0),IFERROR(MATCH(I5,[1]BALLNAME289!$B$5:$AZ$5,0),0),IFERROR(MATCH(I5,[1]BALLNAME289!$B$6:$AZ$6,0),0),IFERROR(MATCH(I5,[1]BALLNAME289!$B$7:$AZ$7,0),0),IFERROR(MATCH(I5,[1]BALLNAME289!$B$8:$AZ$8,0),0),IFERROR(MATCH(I5,[1]BALLNAME289!$B$9:$AZ$9,0),0),IFERROR(MATCH(I5,[1]BALLNAME289!$B$10:$AZ$10,0),0),IFERROR(MATCH(I5,[1]BALLNAME289!$B$11:$AZ$11,0),0),IFERROR(MATCH(I5,[1]BALLNAME289!$B$12:$AZ$12,0),0),IFERROR(MATCH(I5,[1]BALLNAME289!$B$13:$AZ$13,0),0),IFERROR(MATCH(I5,[1]BALLNAME289!$B$14:$AZ$14,0),0),IFERROR(MATCH(I5,[1]BALLNAME289!$B$15:$AZ$15,0),0),IFERROR(MATCH(I5,[1]BALLNAME289!$B$16:$AZ$16,0),0),IFERROR(MATCH(I5,[1]BALLNAME289!$B$17:$AZ$17,0),0),IFERROR(MATCH(I5,[1]BALLNAME289!$B$18:$AZ$18,0),0),IFERROR(MATCH(I5,[1]BALLNAME289!$B$19:$AZ$19,0),0),IFERROR(MATCH(I5,[1]BALLNAME289!$B$20:$AZ$20,0),0),IFERROR(MATCH(I5,[1]BALLNAME289!$B$21:$AZ$21,0),0),IFERROR(MATCH(I5,[1]BALLNAME289!$B$22:$AZ$22,0),0),IFERROR(MATCH(I5,[1]BALLNAME289!$B$23:$AZ$23,0),0),IFERROR(MATCH(I5,[1]BALLNAME289!$B$24:$AZ$24,0),0),IFERROR(MATCH(I5,[1]BALLNAME289!$B$25:$AZ$25,0),0),IFERROR(MATCH(I5,[1]BALLNAME289!$B$26:$AZ$26,0),0),IFERROR(MATCH(I5,[1]BALLNAME289!$B$27:$AZ$27,0),0),IFERROR(MATCH(I5,[1]BALLNAME289!$B$28:$AZ$28,0),0),IFERROR(MATCH(I5,[1]BALLNAME289!$B$29:$AZ$29,0),0),IFERROR(MATCH(I5,[1]BALLNAME289!$B$30:$AZ$30,0),0),IFERROR(MATCH(I5,[1]BALLNAME289!$B$31:$AZ$31,0),0),IFERROR(MATCH(I5,[1]BALLNAME289!$B$32:$AZ$32,0),0),IFERROR(MATCH(I5,[1]BALLNAME289!$B$33:$AZ$33,0),0),IFERROR(MATCH(I5,[1]BALLNAME289!$B$34:$AZ$34,0),0),IFERROR(MATCH(I5,[1]BALLNAME289!$B$35:$AZ$35,0),0),IFERROR(MATCH(I5,[1]BALLNAME289!$B$36:$AZ$36,0),0),IFERROR(MATCH(I5,[1]BALLNAME289!$B$37:$AZ$37,0),0),IFERROR(MATCH(I5,[1]BALLNAME289!$B$38:$AZ$38,0),0),IFERROR(MATCH(I5,[1]BALLNAME289!$B$39:$AZ$39,0),0),IFERROR(MATCH(I5,[1]BALLNAME289!$B$40:$AZ$40,0),0),IFERROR(MATCH(I5,[1]BALLNAME289!$B$41:$AZ$41,0),0),IFERROR(MATCH(I5,[1]BALLNAME289!$B$42:$AZ$42,0),0),IFERROR(MATCH(I5,[1]BALLNAME289!$B$43:$AZ$43,0),0),IFERROR(MATCH(I5,[1]BALLNAME289!$B$44:$AZ$44,0),0),IFERROR(MATCH(I5,[1]BALLNAME289!$B$45:$AZ$45,0),0),IFERROR(MATCH(I5,[1]BALLNAME289!$B$46:$AZ$46,0),0),IFERROR(MATCH(I5,[1]BALLNAME289!$B$47:$AZ$47,0),0),IFERROR(MATCH(I5,[1]BALLNAME289!$B$48:$AZ$48,0),0),IFERROR(MATCH(I5,[1]BALLNAME289!$B$49:$AZ$49,0),0),IFERROR(MATCH(I5,[1]BALLNAME289!$B$50:$AZ$50,0),0),IFERROR(MATCH(I5,[1]BALLNAME289!$B$51:$AZ$51,0),0),IFERROR(MATCH(I5,[1]BALLNAME289!$B$52:$AZ$52,0),0),IFERROR(MATCH(I5,[1]BALLNAME289!$B$53:$AZ$53,0),0),IFERROR(MATCH(I5,[1]BALLNAME289!$B$54:$AZ$54,0),0),IFERROR(MATCH(I5,[1]BALLNAME289!$B$55:$AZ$55,0),0),IFERROR(MATCH(I5,[1]BALLNAME289!$B$56:$AZ$56,0),0),IFERROR(MATCH(I5,[1]BALLNAME289!$B$57:$AZ$57,0),0),IFERROR(MATCH(I5,[1]BALLNAME289!$B$58:$AZ$58,0),0),IFERROR(MATCH(I5,[1]BALLNAME289!$B$59:$AZ$59,0),0),IFERROR(MATCH(I5,[1]BALLNAME289!$B$60:$AZ$60,0),0))</f>
        <v>8</v>
      </c>
      <c r="F5" s="4" t="str">
        <f ca="1">OFFSET([1]BALLNAME144!$A$2,D5-1,0)&amp;OFFSET([1]BALLNAME144!$B$1,0,E5-1)</f>
        <v>8</v>
      </c>
      <c r="G5" s="4">
        <f t="shared" si="0"/>
        <v>15</v>
      </c>
      <c r="H5" s="4">
        <f t="shared" si="0"/>
        <v>9</v>
      </c>
      <c r="I5" s="4" t="s">
        <v>2180</v>
      </c>
      <c r="J5" s="4">
        <v>4</v>
      </c>
      <c r="K5" s="4" t="s">
        <v>2168</v>
      </c>
      <c r="L5" s="4" t="s">
        <v>57</v>
      </c>
      <c r="N5" s="4" t="s">
        <v>2268</v>
      </c>
      <c r="O5" s="4" t="s">
        <v>2269</v>
      </c>
      <c r="P5" s="4" t="s">
        <v>2270</v>
      </c>
      <c r="Q5" s="4" t="s">
        <v>2271</v>
      </c>
      <c r="AZ5" s="4" t="s">
        <v>2245</v>
      </c>
    </row>
    <row r="6" spans="1:52" s="4" customFormat="1" x14ac:dyDescent="0.3">
      <c r="A6" s="4">
        <f>MAX(IFERROR(MATCH(I6,[1]BALLNAME289_head!$B$2:$B$23,0),0),IFERROR(MATCH(I6,[1]BALLNAME289_head!$C$2:$C$22,0),0),IFERROR(MATCH(I6,[1]BALLNAME289_head!$D$2:$D$23,0),0),IFERROR(MATCH(I6,[1]BALLNAME289_head!$E$19:$E$22,0),0),IFERROR(MATCH(I6,[1]BALLNAME289_head!$F$2:$F$21,0),0),IFERROR(MATCH(I6,[1]BALLNAME289_head!$G$2:$G$19,0),0),IFERROR(MATCH(I6,[1]BALLNAME289_head!$H$2:$H$21,0),0),IFERROR(MATCH(I6,[1]BALLNAME289_head!$I$2:$I$19,0),0),IFERROR(MATCH(I6,[1]BALLNAME289_head!$J$2:$J$23,0),0),IFERROR(MATCH(I6,[1]BALLNAME289_head!$K$2:$K$23,0),0),IFERROR(MATCH(I6,[1]BALLNAME289_head!$L$2:$L$22,0),0),IFERROR(MATCH(I6,[1]BALLNAME289_head!$M$2:$M$23,0),0),IFERROR(MATCH(I6,[1]BALLNAME289_head!$N$2:$N$23,0),0),IFERROR(MATCH(I6,[1]BALLNAME289_head!$O$2:$O$19,0),0),IFERROR(MATCH(I6,[1]BALLNAME289_head!#REF!,0),0),IFERROR(MATCH(I6,[1]BALLNAME289_head!$Q$2:$Q$19,0),0),IFERROR(MATCH(I6,[1]BALLNAME289_head!$R$2:$R$19,0),0),IFERROR(MATCH(I6,[1]BALLNAME289_head!$S$2:$S$22,0),0),IFERROR(MATCH(I6,[1]BALLNAME289_head!$T$2:$T$22,0),0),IFERROR(MATCH(I6,[1]BALLNAME289_head!$AA$2:$AA$27,0),0),IFERROR(MATCH(I6,[1]BALLNAME289_head!$AB$2:$AB$27,0),0),IFERROR(MATCH(I6,[1]BALLNAME289_head!$AC$2:$AC$27,0),0))</f>
        <v>13</v>
      </c>
      <c r="B6" s="4">
        <f>MAX(IFERROR(MATCH(I6,[1]BALLNAME289_head!$B$2:$AA$2,0),0),IFERROR(MATCH(I6,[1]BALLNAME289_head!$B$3:$AA$3,0),0),IFERROR(MATCH(I6,[1]BALLNAME289_head!$B$4:$AA$4,0),0),IFERROR(MATCH(I6,[1]BALLNAME289_head!$B$5:$S$5,0),0),IFERROR(MATCH(I6,[1]BALLNAME289_head!$B$6:$AA$6,0),0),IFERROR(MATCH(I6,[1]BALLNAME289_head!$B$7:$S$7,0),0),IFERROR(MATCH(I6,[1]BALLNAME289_head!$B$8:$T$8,0),0),IFERROR(MATCH(I6,[1]BALLNAME289_head!$B$9:$T$9,0),0),IFERROR(MATCH(I6,[1]BALLNAME289_head!$B$10:$AC$10,0),0),IFERROR(MATCH(I6,[1]BALLNAME289_head!$B$11:$AC$11,0),0),IFERROR(MATCH(I6,[1]BALLNAME289_head!$B$12:$AC$12,0),0),IFERROR(MATCH(I6,[1]BALLNAME289_head!$B$13:$V$13,0),0),IFERROR(MATCH(I6,[1]BALLNAME289_head!$B$14:$AA$14,0),0),IFERROR(MATCH(I6,[1]BALLNAME289_head!$B$15:$AA$15,0),0),IFERROR(MATCH(I6,[1]BALLNAME289_head!#REF!,0),0),IFERROR(MATCH(I6,[1]BALLNAME289_head!#REF!,0),0),IFERROR(MATCH(I6,[1]BALLNAME289_head!#REF!,0),0),IFERROR(MATCH(I6,[1]BALLNAME289_head!$B$19:$AA$19,0),0),IFERROR(MATCH(I6,[1]BALLNAME289_head!$B$20:$AA$20,0),0),IFERROR(MATCH(I6,[1]BALLNAME289_head!$B$21:$Z$21,0),0),IFERROR(MATCH(I6,[1]BALLNAME289_head!$B$22:$J$22,0),0),IFERROR(MATCH(I6,[1]BALLNAME289_head!$B$23:$Z$23,0),0))</f>
        <v>8</v>
      </c>
      <c r="C6" s="4" t="str">
        <f ca="1">OFFSET([1]BALLNAME289_head!$A$2,[1]PINMUX!CM6-1,0)&amp;OFFSET([1]BALLNAME289_head!$B$1,0,[1]PINMUX!CN6-1)</f>
        <v>E3</v>
      </c>
      <c r="D6" s="4">
        <f>MAX(IFERROR(MATCH(I6,[1]BALLNAME289!$B$2:$B$60,0),0),IFERROR(MATCH(I6,[1]BALLNAME289!$C$2:$C$60,0),0),IFERROR(MATCH(I6,[1]BALLNAME289!$D$2:$D$60,0),0),IFERROR(MATCH(I6,[1]BALLNAME289!$E$2:$E$60,0),0),IFERROR(MATCH(I6,[1]BALLNAME289!$F$2:$F$60,0),0),IFERROR(MATCH(I6,[1]BALLNAME289!$G$2:$G$60,0),0),IFERROR(MATCH(I6,[1]BALLNAME289!$H$2:$H$60,0),0),IFERROR(MATCH(I6,[1]BALLNAME289!$I$2:$I$60,0),0),IFERROR(MATCH(I6,[1]BALLNAME289!$J$2:$J$60,0),0),IFERROR(MATCH(I6,[1]BALLNAME289!$K$2:$K$60,0),0),IFERROR(MATCH(I6,[1]BALLNAME289!$L$2:$L$60,0),0),IFERROR(MATCH(I6,[1]BALLNAME289!$M$2:$M$60,0),0),IFERROR(MATCH(I6,[1]BALLNAME289!$N$2:$N$60,0),0),IFERROR(MATCH(I6,[1]BALLNAME289!$O$2:$O$60,0),0),IFERROR(MATCH(I6,[1]BALLNAME289!$P$2:$P$60,0),0),IFERROR(MATCH(I6,[1]BALLNAME289!$Q$2:$Q$60,0),0),IFERROR(MATCH(I6,[1]BALLNAME289!$R$2:$R$60,0),0),IFERROR(MATCH(I6,[1]BALLNAME289!$S$2:$S$60,0),0),IFERROR(MATCH(I6,[1]BALLNAME289!$T$2:$T$60,0),0),IFERROR(MATCH(I6,[1]BALLNAME289!$U$2:$U$60,0),0),IFERROR(MATCH(I6,[1]BALLNAME289!$V$2:$V$60,0),0),IFERROR(MATCH(I6,[1]BALLNAME289!$W$2:$W$60,0),0),IFERROR(MATCH(I6,[1]BALLNAME289!$X$2:$X$60,0),0),IFERROR(MATCH(I6,[1]BALLNAME289!$Y$2:$Y$60,0),0),IFERROR(MATCH(I6,[1]BALLNAME289!$Z$2:$Z$60,0),0),IFERROR(MATCH(I6,[1]BALLNAME289!$AA$2:$AA$60,0),0),IFERROR(MATCH(I6,[1]BALLNAME289!$AB$2:$AB$60,0),0),IFERROR(MATCH(I6,[1]BALLNAME289!$AC$2:$AC$60,0),0),IFERROR(MATCH(I6,[1]BALLNAME289!$AD$2:$AD$60,0),0),IFERROR(MATCH(I6,[1]BALLNAME289!$AE$2:$AE$60,0),0),IFERROR(MATCH(I6,[1]BALLNAME289!$AF$2:$AF$60,0),0),IFERROR(MATCH(I6,[1]BALLNAME289!$AG$2:$AG$60,0),0),IFERROR(MATCH(I6,[1]BALLNAME289!$AH$2:$AH$60,0),0),IFERROR(MATCH(I6,[1]BALLNAME289!$AI$2:$AI$60,0),0),IFERROR(MATCH(I6,[1]BALLNAME289!$AJ$2:$AJ$60,0),0),IFERROR(MATCH(I6,[1]BALLNAME289!$AK$2:$AK$60,0),0),IFERROR(MATCH(I6,[1]BALLNAME289!$AL$2:$AL$60,0),0),IFERROR(MATCH(I6,[1]BALLNAME289!$AM$2:$AM$60,0),0),IFERROR(MATCH(I6,[1]BALLNAME289!$AN$2:$AN$60,0),0),IFERROR(MATCH(I6,[1]BALLNAME289!$AO$2:$AO$60,0),0),IFERROR(MATCH(I6,[1]BALLNAME289!$AP$2:$AP$60,0),0),IFERROR(MATCH(I6,[1]BALLNAME289!$AQ$2:$AQ$60,0),0),IFERROR(MATCH(I6,[1]BALLNAME289!$AR$2:$AR$60,0),0),IFERROR(MATCH(I6,[1]BALLNAME289!$AS$2:$AS$60,0),0),IFERROR(MATCH(I6,[1]BALLNAME289!$AT$2:$AT$60,0),0),IFERROR(MATCH(I6,[1]BALLNAME289!$AU$2:$AU$60,0),0),IFERROR(MATCH(I6,[1]BALLNAME289!$AV$2:$AV$60,0),0),IFERROR(MATCH(I6,[1]BALLNAME289!$AW$2:$AW$60,0),0),IFERROR(MATCH(I6,[1]BALLNAME289!$AX$2:$AX$60,0),0),IFERROR(MATCH(I6,[1]BALLNAME289!$AY$2:$AY$60,0),0),IFERROR(MATCH(I6,[1]BALLNAME289!$AZ$2:$AZ$60,0),0))</f>
        <v>13</v>
      </c>
      <c r="E6" s="4">
        <f>MAX(IFERROR(MATCH(I6,[1]BALLNAME289!$B$2:$AZ$2,0),0),IFERROR(MATCH(I6,[1]BALLNAME289!$B$3:$AZ$3,0),0),IFERROR(MATCH(I6,[1]BALLNAME289!$B$4:$AZ$4,0),0),IFERROR(MATCH(I6,[1]BALLNAME289!$B$5:$AZ$5,0),0),IFERROR(MATCH(I6,[1]BALLNAME289!$B$6:$AZ$6,0),0),IFERROR(MATCH(I6,[1]BALLNAME289!$B$7:$AZ$7,0),0),IFERROR(MATCH(I6,[1]BALLNAME289!$B$8:$AZ$8,0),0),IFERROR(MATCH(I6,[1]BALLNAME289!$B$9:$AZ$9,0),0),IFERROR(MATCH(I6,[1]BALLNAME289!$B$10:$AZ$10,0),0),IFERROR(MATCH(I6,[1]BALLNAME289!$B$11:$AZ$11,0),0),IFERROR(MATCH(I6,[1]BALLNAME289!$B$12:$AZ$12,0),0),IFERROR(MATCH(I6,[1]BALLNAME289!$B$13:$AZ$13,0),0),IFERROR(MATCH(I6,[1]BALLNAME289!$B$14:$AZ$14,0),0),IFERROR(MATCH(I6,[1]BALLNAME289!$B$15:$AZ$15,0),0),IFERROR(MATCH(I6,[1]BALLNAME289!$B$16:$AZ$16,0),0),IFERROR(MATCH(I6,[1]BALLNAME289!$B$17:$AZ$17,0),0),IFERROR(MATCH(I6,[1]BALLNAME289!$B$18:$AZ$18,0),0),IFERROR(MATCH(I6,[1]BALLNAME289!$B$19:$AZ$19,0),0),IFERROR(MATCH(I6,[1]BALLNAME289!$B$20:$AZ$20,0),0),IFERROR(MATCH(I6,[1]BALLNAME289!$B$21:$AZ$21,0),0),IFERROR(MATCH(I6,[1]BALLNAME289!$B$22:$AZ$22,0),0),IFERROR(MATCH(I6,[1]BALLNAME289!$B$23:$AZ$23,0),0),IFERROR(MATCH(I6,[1]BALLNAME289!$B$24:$AZ$24,0),0),IFERROR(MATCH(I6,[1]BALLNAME289!$B$25:$AZ$25,0),0),IFERROR(MATCH(I6,[1]BALLNAME289!$B$26:$AZ$26,0),0),IFERROR(MATCH(I6,[1]BALLNAME289!$B$27:$AZ$27,0),0),IFERROR(MATCH(I6,[1]BALLNAME289!$B$28:$AZ$28,0),0),IFERROR(MATCH(I6,[1]BALLNAME289!$B$29:$AZ$29,0),0),IFERROR(MATCH(I6,[1]BALLNAME289!$B$30:$AZ$30,0),0),IFERROR(MATCH(I6,[1]BALLNAME289!$B$31:$AZ$31,0),0),IFERROR(MATCH(I6,[1]BALLNAME289!$B$32:$AZ$32,0),0),IFERROR(MATCH(I6,[1]BALLNAME289!$B$33:$AZ$33,0),0),IFERROR(MATCH(I6,[1]BALLNAME289!$B$34:$AZ$34,0),0),IFERROR(MATCH(I6,[1]BALLNAME289!$B$35:$AZ$35,0),0),IFERROR(MATCH(I6,[1]BALLNAME289!$B$36:$AZ$36,0),0),IFERROR(MATCH(I6,[1]BALLNAME289!$B$37:$AZ$37,0),0),IFERROR(MATCH(I6,[1]BALLNAME289!$B$38:$AZ$38,0),0),IFERROR(MATCH(I6,[1]BALLNAME289!$B$39:$AZ$39,0),0),IFERROR(MATCH(I6,[1]BALLNAME289!$B$40:$AZ$40,0),0),IFERROR(MATCH(I6,[1]BALLNAME289!$B$41:$AZ$41,0),0),IFERROR(MATCH(I6,[1]BALLNAME289!$B$42:$AZ$42,0),0),IFERROR(MATCH(I6,[1]BALLNAME289!$B$43:$AZ$43,0),0),IFERROR(MATCH(I6,[1]BALLNAME289!$B$44:$AZ$44,0),0),IFERROR(MATCH(I6,[1]BALLNAME289!$B$45:$AZ$45,0),0),IFERROR(MATCH(I6,[1]BALLNAME289!$B$46:$AZ$46,0),0),IFERROR(MATCH(I6,[1]BALLNAME289!$B$47:$AZ$47,0),0),IFERROR(MATCH(I6,[1]BALLNAME289!$B$48:$AZ$48,0),0),IFERROR(MATCH(I6,[1]BALLNAME289!$B$49:$AZ$49,0),0),IFERROR(MATCH(I6,[1]BALLNAME289!$B$50:$AZ$50,0),0),IFERROR(MATCH(I6,[1]BALLNAME289!$B$51:$AZ$51,0),0),IFERROR(MATCH(I6,[1]BALLNAME289!$B$52:$AZ$52,0),0),IFERROR(MATCH(I6,[1]BALLNAME289!$B$53:$AZ$53,0),0),IFERROR(MATCH(I6,[1]BALLNAME289!$B$54:$AZ$54,0),0),IFERROR(MATCH(I6,[1]BALLNAME289!$B$55:$AZ$55,0),0),IFERROR(MATCH(I6,[1]BALLNAME289!$B$56:$AZ$56,0),0),IFERROR(MATCH(I6,[1]BALLNAME289!$B$57:$AZ$57,0),0),IFERROR(MATCH(I6,[1]BALLNAME289!$B$58:$AZ$58,0),0),IFERROR(MATCH(I6,[1]BALLNAME289!$B$59:$AZ$59,0),0),IFERROR(MATCH(I6,[1]BALLNAME289!$B$60:$AZ$60,0),0))</f>
        <v>8</v>
      </c>
      <c r="F6" s="4" t="str">
        <f ca="1">OFFSET([1]BALLNAME144!$A$2,D6-1,0)&amp;OFFSET([1]BALLNAME144!$B$1,0,E6-1)</f>
        <v>8</v>
      </c>
      <c r="G6" s="4">
        <f t="shared" si="0"/>
        <v>14</v>
      </c>
      <c r="H6" s="4">
        <f t="shared" si="0"/>
        <v>9</v>
      </c>
      <c r="I6" s="4" t="s">
        <v>2189</v>
      </c>
      <c r="J6" s="4">
        <v>4</v>
      </c>
      <c r="K6" s="4" t="s">
        <v>2168</v>
      </c>
      <c r="L6" s="4" t="s">
        <v>57</v>
      </c>
      <c r="N6" s="4" t="s">
        <v>2272</v>
      </c>
      <c r="O6" s="4" t="s">
        <v>2273</v>
      </c>
      <c r="P6" s="4" t="s">
        <v>2274</v>
      </c>
      <c r="Q6" s="4" t="s">
        <v>2275</v>
      </c>
      <c r="AZ6" s="4" t="s">
        <v>2245</v>
      </c>
    </row>
    <row r="7" spans="1:52" s="4" customFormat="1" x14ac:dyDescent="0.3">
      <c r="A7" s="4">
        <f>MAX(IFERROR(MATCH(I7,[1]BALLNAME289_head!$B$2:$B$23,0),0),IFERROR(MATCH(I7,[1]BALLNAME289_head!$C$2:$C$22,0),0),IFERROR(MATCH(I7,[1]BALLNAME289_head!$D$2:$D$23,0),0),IFERROR(MATCH(I7,[1]BALLNAME289_head!$E$19:$E$22,0),0),IFERROR(MATCH(I7,[1]BALLNAME289_head!$F$2:$F$21,0),0),IFERROR(MATCH(I7,[1]BALLNAME289_head!$G$2:$G$19,0),0),IFERROR(MATCH(I7,[1]BALLNAME289_head!$H$2:$H$21,0),0),IFERROR(MATCH(I7,[1]BALLNAME289_head!$I$2:$I$19,0),0),IFERROR(MATCH(I7,[1]BALLNAME289_head!$J$2:$J$23,0),0),IFERROR(MATCH(I7,[1]BALLNAME289_head!$K$2:$K$23,0),0),IFERROR(MATCH(I7,[1]BALLNAME289_head!$L$2:$L$22,0),0),IFERROR(MATCH(I7,[1]BALLNAME289_head!$M$2:$M$23,0),0),IFERROR(MATCH(I7,[1]BALLNAME289_head!$N$2:$N$23,0),0),IFERROR(MATCH(I7,[1]BALLNAME289_head!$O$2:$O$19,0),0),IFERROR(MATCH(I7,[1]BALLNAME289_head!#REF!,0),0),IFERROR(MATCH(I7,[1]BALLNAME289_head!$Q$2:$Q$19,0),0),IFERROR(MATCH(I7,[1]BALLNAME289_head!$R$2:$R$19,0),0),IFERROR(MATCH(I7,[1]BALLNAME289_head!$S$2:$S$22,0),0),IFERROR(MATCH(I7,[1]BALLNAME289_head!$T$2:$T$22,0),0),IFERROR(MATCH(I7,[1]BALLNAME289_head!$AA$2:$AA$27,0),0),IFERROR(MATCH(I7,[1]BALLNAME289_head!$AB$2:$AB$27,0),0),IFERROR(MATCH(I7,[1]BALLNAME289_head!$AC$2:$AC$27,0),0))</f>
        <v>14</v>
      </c>
      <c r="B7" s="4">
        <f>MAX(IFERROR(MATCH(I7,[1]BALLNAME289_head!$B$2:$AA$2,0),0),IFERROR(MATCH(I7,[1]BALLNAME289_head!$B$3:$AA$3,0),0),IFERROR(MATCH(I7,[1]BALLNAME289_head!$B$4:$AA$4,0),0),IFERROR(MATCH(I7,[1]BALLNAME289_head!$B$5:$S$5,0),0),IFERROR(MATCH(I7,[1]BALLNAME289_head!$B$6:$AA$6,0),0),IFERROR(MATCH(I7,[1]BALLNAME289_head!$B$7:$S$7,0),0),IFERROR(MATCH(I7,[1]BALLNAME289_head!$B$8:$T$8,0),0),IFERROR(MATCH(I7,[1]BALLNAME289_head!$B$9:$T$9,0),0),IFERROR(MATCH(I7,[1]BALLNAME289_head!$B$10:$AC$10,0),0),IFERROR(MATCH(I7,[1]BALLNAME289_head!$B$11:$AC$11,0),0),IFERROR(MATCH(I7,[1]BALLNAME289_head!$B$12:$AC$12,0),0),IFERROR(MATCH(I7,[1]BALLNAME289_head!$B$13:$V$13,0),0),IFERROR(MATCH(I7,[1]BALLNAME289_head!$B$14:$AA$14,0),0),IFERROR(MATCH(I7,[1]BALLNAME289_head!$B$15:$AA$15,0),0),IFERROR(MATCH(I7,[1]BALLNAME289_head!#REF!,0),0),IFERROR(MATCH(I7,[1]BALLNAME289_head!#REF!,0),0),IFERROR(MATCH(I7,[1]BALLNAME289_head!#REF!,0),0),IFERROR(MATCH(I7,[1]BALLNAME289_head!$B$19:$AA$19,0),0),IFERROR(MATCH(I7,[1]BALLNAME289_head!$B$20:$AA$20,0),0),IFERROR(MATCH(I7,[1]BALLNAME289_head!$B$21:$Z$21,0),0),IFERROR(MATCH(I7,[1]BALLNAME289_head!$B$22:$J$22,0),0),IFERROR(MATCH(I7,[1]BALLNAME289_head!$B$23:$Z$23,0),0))</f>
        <v>7</v>
      </c>
      <c r="C7" s="4" t="str">
        <f ca="1">OFFSET([1]BALLNAME289_head!$A$2,[1]PINMUX!CM7-1,0)&amp;OFFSET([1]BALLNAME289_head!$B$1,0,[1]PINMUX!CN7-1)</f>
        <v>F2</v>
      </c>
      <c r="D7" s="4">
        <f>MAX(IFERROR(MATCH(I7,[1]BALLNAME289!$B$2:$B$60,0),0),IFERROR(MATCH(I7,[1]BALLNAME289!$C$2:$C$60,0),0),IFERROR(MATCH(I7,[1]BALLNAME289!$D$2:$D$60,0),0),IFERROR(MATCH(I7,[1]BALLNAME289!$E$2:$E$60,0),0),IFERROR(MATCH(I7,[1]BALLNAME289!$F$2:$F$60,0),0),IFERROR(MATCH(I7,[1]BALLNAME289!$G$2:$G$60,0),0),IFERROR(MATCH(I7,[1]BALLNAME289!$H$2:$H$60,0),0),IFERROR(MATCH(I7,[1]BALLNAME289!$I$2:$I$60,0),0),IFERROR(MATCH(I7,[1]BALLNAME289!$J$2:$J$60,0),0),IFERROR(MATCH(I7,[1]BALLNAME289!$K$2:$K$60,0),0),IFERROR(MATCH(I7,[1]BALLNAME289!$L$2:$L$60,0),0),IFERROR(MATCH(I7,[1]BALLNAME289!$M$2:$M$60,0),0),IFERROR(MATCH(I7,[1]BALLNAME289!$N$2:$N$60,0),0),IFERROR(MATCH(I7,[1]BALLNAME289!$O$2:$O$60,0),0),IFERROR(MATCH(I7,[1]BALLNAME289!$P$2:$P$60,0),0),IFERROR(MATCH(I7,[1]BALLNAME289!$Q$2:$Q$60,0),0),IFERROR(MATCH(I7,[1]BALLNAME289!$R$2:$R$60,0),0),IFERROR(MATCH(I7,[1]BALLNAME289!$S$2:$S$60,0),0),IFERROR(MATCH(I7,[1]BALLNAME289!$T$2:$T$60,0),0),IFERROR(MATCH(I7,[1]BALLNAME289!$U$2:$U$60,0),0),IFERROR(MATCH(I7,[1]BALLNAME289!$V$2:$V$60,0),0),IFERROR(MATCH(I7,[1]BALLNAME289!$W$2:$W$60,0),0),IFERROR(MATCH(I7,[1]BALLNAME289!$X$2:$X$60,0),0),IFERROR(MATCH(I7,[1]BALLNAME289!$Y$2:$Y$60,0),0),IFERROR(MATCH(I7,[1]BALLNAME289!$Z$2:$Z$60,0),0),IFERROR(MATCH(I7,[1]BALLNAME289!$AA$2:$AA$60,0),0),IFERROR(MATCH(I7,[1]BALLNAME289!$AB$2:$AB$60,0),0),IFERROR(MATCH(I7,[1]BALLNAME289!$AC$2:$AC$60,0),0),IFERROR(MATCH(I7,[1]BALLNAME289!$AD$2:$AD$60,0),0),IFERROR(MATCH(I7,[1]BALLNAME289!$AE$2:$AE$60,0),0),IFERROR(MATCH(I7,[1]BALLNAME289!$AF$2:$AF$60,0),0),IFERROR(MATCH(I7,[1]BALLNAME289!$AG$2:$AG$60,0),0),IFERROR(MATCH(I7,[1]BALLNAME289!$AH$2:$AH$60,0),0),IFERROR(MATCH(I7,[1]BALLNAME289!$AI$2:$AI$60,0),0),IFERROR(MATCH(I7,[1]BALLNAME289!$AJ$2:$AJ$60,0),0),IFERROR(MATCH(I7,[1]BALLNAME289!$AK$2:$AK$60,0),0),IFERROR(MATCH(I7,[1]BALLNAME289!$AL$2:$AL$60,0),0),IFERROR(MATCH(I7,[1]BALLNAME289!$AM$2:$AM$60,0),0),IFERROR(MATCH(I7,[1]BALLNAME289!$AN$2:$AN$60,0),0),IFERROR(MATCH(I7,[1]BALLNAME289!$AO$2:$AO$60,0),0),IFERROR(MATCH(I7,[1]BALLNAME289!$AP$2:$AP$60,0),0),IFERROR(MATCH(I7,[1]BALLNAME289!$AQ$2:$AQ$60,0),0),IFERROR(MATCH(I7,[1]BALLNAME289!$AR$2:$AR$60,0),0),IFERROR(MATCH(I7,[1]BALLNAME289!$AS$2:$AS$60,0),0),IFERROR(MATCH(I7,[1]BALLNAME289!$AT$2:$AT$60,0),0),IFERROR(MATCH(I7,[1]BALLNAME289!$AU$2:$AU$60,0),0),IFERROR(MATCH(I7,[1]BALLNAME289!$AV$2:$AV$60,0),0),IFERROR(MATCH(I7,[1]BALLNAME289!$AW$2:$AW$60,0),0),IFERROR(MATCH(I7,[1]BALLNAME289!$AX$2:$AX$60,0),0),IFERROR(MATCH(I7,[1]BALLNAME289!$AY$2:$AY$60,0),0),IFERROR(MATCH(I7,[1]BALLNAME289!$AZ$2:$AZ$60,0),0))</f>
        <v>14</v>
      </c>
      <c r="E7" s="4">
        <f>MAX(IFERROR(MATCH(I7,[1]BALLNAME289!$B$2:$AZ$2,0),0),IFERROR(MATCH(I7,[1]BALLNAME289!$B$3:$AZ$3,0),0),IFERROR(MATCH(I7,[1]BALLNAME289!$B$4:$AZ$4,0),0),IFERROR(MATCH(I7,[1]BALLNAME289!$B$5:$AZ$5,0),0),IFERROR(MATCH(I7,[1]BALLNAME289!$B$6:$AZ$6,0),0),IFERROR(MATCH(I7,[1]BALLNAME289!$B$7:$AZ$7,0),0),IFERROR(MATCH(I7,[1]BALLNAME289!$B$8:$AZ$8,0),0),IFERROR(MATCH(I7,[1]BALLNAME289!$B$9:$AZ$9,0),0),IFERROR(MATCH(I7,[1]BALLNAME289!$B$10:$AZ$10,0),0),IFERROR(MATCH(I7,[1]BALLNAME289!$B$11:$AZ$11,0),0),IFERROR(MATCH(I7,[1]BALLNAME289!$B$12:$AZ$12,0),0),IFERROR(MATCH(I7,[1]BALLNAME289!$B$13:$AZ$13,0),0),IFERROR(MATCH(I7,[1]BALLNAME289!$B$14:$AZ$14,0),0),IFERROR(MATCH(I7,[1]BALLNAME289!$B$15:$AZ$15,0),0),IFERROR(MATCH(I7,[1]BALLNAME289!$B$16:$AZ$16,0),0),IFERROR(MATCH(I7,[1]BALLNAME289!$B$17:$AZ$17,0),0),IFERROR(MATCH(I7,[1]BALLNAME289!$B$18:$AZ$18,0),0),IFERROR(MATCH(I7,[1]BALLNAME289!$B$19:$AZ$19,0),0),IFERROR(MATCH(I7,[1]BALLNAME289!$B$20:$AZ$20,0),0),IFERROR(MATCH(I7,[1]BALLNAME289!$B$21:$AZ$21,0),0),IFERROR(MATCH(I7,[1]BALLNAME289!$B$22:$AZ$22,0),0),IFERROR(MATCH(I7,[1]BALLNAME289!$B$23:$AZ$23,0),0),IFERROR(MATCH(I7,[1]BALLNAME289!$B$24:$AZ$24,0),0),IFERROR(MATCH(I7,[1]BALLNAME289!$B$25:$AZ$25,0),0),IFERROR(MATCH(I7,[1]BALLNAME289!$B$26:$AZ$26,0),0),IFERROR(MATCH(I7,[1]BALLNAME289!$B$27:$AZ$27,0),0),IFERROR(MATCH(I7,[1]BALLNAME289!$B$28:$AZ$28,0),0),IFERROR(MATCH(I7,[1]BALLNAME289!$B$29:$AZ$29,0),0),IFERROR(MATCH(I7,[1]BALLNAME289!$B$30:$AZ$30,0),0),IFERROR(MATCH(I7,[1]BALLNAME289!$B$31:$AZ$31,0),0),IFERROR(MATCH(I7,[1]BALLNAME289!$B$32:$AZ$32,0),0),IFERROR(MATCH(I7,[1]BALLNAME289!$B$33:$AZ$33,0),0),IFERROR(MATCH(I7,[1]BALLNAME289!$B$34:$AZ$34,0),0),IFERROR(MATCH(I7,[1]BALLNAME289!$B$35:$AZ$35,0),0),IFERROR(MATCH(I7,[1]BALLNAME289!$B$36:$AZ$36,0),0),IFERROR(MATCH(I7,[1]BALLNAME289!$B$37:$AZ$37,0),0),IFERROR(MATCH(I7,[1]BALLNAME289!$B$38:$AZ$38,0),0),IFERROR(MATCH(I7,[1]BALLNAME289!$B$39:$AZ$39,0),0),IFERROR(MATCH(I7,[1]BALLNAME289!$B$40:$AZ$40,0),0),IFERROR(MATCH(I7,[1]BALLNAME289!$B$41:$AZ$41,0),0),IFERROR(MATCH(I7,[1]BALLNAME289!$B$42:$AZ$42,0),0),IFERROR(MATCH(I7,[1]BALLNAME289!$B$43:$AZ$43,0),0),IFERROR(MATCH(I7,[1]BALLNAME289!$B$44:$AZ$44,0),0),IFERROR(MATCH(I7,[1]BALLNAME289!$B$45:$AZ$45,0),0),IFERROR(MATCH(I7,[1]BALLNAME289!$B$46:$AZ$46,0),0),IFERROR(MATCH(I7,[1]BALLNAME289!$B$47:$AZ$47,0),0),IFERROR(MATCH(I7,[1]BALLNAME289!$B$48:$AZ$48,0),0),IFERROR(MATCH(I7,[1]BALLNAME289!$B$49:$AZ$49,0),0),IFERROR(MATCH(I7,[1]BALLNAME289!$B$50:$AZ$50,0),0),IFERROR(MATCH(I7,[1]BALLNAME289!$B$51:$AZ$51,0),0),IFERROR(MATCH(I7,[1]BALLNAME289!$B$52:$AZ$52,0),0),IFERROR(MATCH(I7,[1]BALLNAME289!$B$53:$AZ$53,0),0),IFERROR(MATCH(I7,[1]BALLNAME289!$B$54:$AZ$54,0),0),IFERROR(MATCH(I7,[1]BALLNAME289!$B$55:$AZ$55,0),0),IFERROR(MATCH(I7,[1]BALLNAME289!$B$56:$AZ$56,0),0),IFERROR(MATCH(I7,[1]BALLNAME289!$B$57:$AZ$57,0),0),IFERROR(MATCH(I7,[1]BALLNAME289!$B$58:$AZ$58,0),0),IFERROR(MATCH(I7,[1]BALLNAME289!$B$59:$AZ$59,0),0),IFERROR(MATCH(I7,[1]BALLNAME289!$B$60:$AZ$60,0),0))</f>
        <v>7</v>
      </c>
      <c r="F7" s="4" t="str">
        <f ca="1">OFFSET([1]BALLNAME144!$A$2,D7-1,0)&amp;OFFSET([1]BALLNAME144!$B$1,0,E7-1)</f>
        <v>7</v>
      </c>
      <c r="G7" s="4">
        <f t="shared" si="0"/>
        <v>15</v>
      </c>
      <c r="H7" s="4">
        <f t="shared" si="0"/>
        <v>8</v>
      </c>
      <c r="I7" s="4" t="s">
        <v>2173</v>
      </c>
      <c r="J7" s="4">
        <v>3</v>
      </c>
      <c r="K7" s="4" t="s">
        <v>2168</v>
      </c>
      <c r="L7" s="4" t="s">
        <v>57</v>
      </c>
      <c r="N7" s="4" t="s">
        <v>2276</v>
      </c>
      <c r="O7" s="4" t="s">
        <v>2277</v>
      </c>
      <c r="P7" s="4" t="s">
        <v>2278</v>
      </c>
      <c r="Q7" s="4" t="s">
        <v>2279</v>
      </c>
      <c r="AZ7" s="4" t="s">
        <v>2245</v>
      </c>
    </row>
    <row r="8" spans="1:52" s="4" customFormat="1" x14ac:dyDescent="0.3">
      <c r="A8" s="4">
        <f>MAX(IFERROR(MATCH(I8,[1]BALLNAME289_head!$B$2:$B$23,0),0),IFERROR(MATCH(I8,[1]BALLNAME289_head!$C$2:$C$22,0),0),IFERROR(MATCH(I8,[1]BALLNAME289_head!$D$2:$D$23,0),0),IFERROR(MATCH(I8,[1]BALLNAME289_head!$E$19:$E$22,0),0),IFERROR(MATCH(I8,[1]BALLNAME289_head!$F$2:$F$21,0),0),IFERROR(MATCH(I8,[1]BALLNAME289_head!$G$2:$G$19,0),0),IFERROR(MATCH(I8,[1]BALLNAME289_head!$H$2:$H$21,0),0),IFERROR(MATCH(I8,[1]BALLNAME289_head!$I$2:$I$19,0),0),IFERROR(MATCH(I8,[1]BALLNAME289_head!$J$2:$J$23,0),0),IFERROR(MATCH(I8,[1]BALLNAME289_head!$K$2:$K$23,0),0),IFERROR(MATCH(I8,[1]BALLNAME289_head!$L$2:$L$22,0),0),IFERROR(MATCH(I8,[1]BALLNAME289_head!$M$2:$M$23,0),0),IFERROR(MATCH(I8,[1]BALLNAME289_head!$N$2:$N$23,0),0),IFERROR(MATCH(I8,[1]BALLNAME289_head!$O$2:$O$19,0),0),IFERROR(MATCH(I8,[1]BALLNAME289_head!#REF!,0),0),IFERROR(MATCH(I8,[1]BALLNAME289_head!$Q$2:$Q$19,0),0),IFERROR(MATCH(I8,[1]BALLNAME289_head!$R$2:$R$19,0),0),IFERROR(MATCH(I8,[1]BALLNAME289_head!$S$2:$S$22,0),0),IFERROR(MATCH(I8,[1]BALLNAME289_head!$T$2:$T$22,0),0),IFERROR(MATCH(I8,[1]BALLNAME289_head!$AA$2:$AA$27,0),0),IFERROR(MATCH(I8,[1]BALLNAME289_head!$AB$2:$AB$27,0),0),IFERROR(MATCH(I8,[1]BALLNAME289_head!$AC$2:$AC$27,0),0))</f>
        <v>13</v>
      </c>
      <c r="B8" s="4">
        <f>MAX(IFERROR(MATCH(I8,[1]BALLNAME289_head!$B$2:$AA$2,0),0),IFERROR(MATCH(I8,[1]BALLNAME289_head!$B$3:$AA$3,0),0),IFERROR(MATCH(I8,[1]BALLNAME289_head!$B$4:$AA$4,0),0),IFERROR(MATCH(I8,[1]BALLNAME289_head!$B$5:$S$5,0),0),IFERROR(MATCH(I8,[1]BALLNAME289_head!$B$6:$AA$6,0),0),IFERROR(MATCH(I8,[1]BALLNAME289_head!$B$7:$S$7,0),0),IFERROR(MATCH(I8,[1]BALLNAME289_head!$B$8:$T$8,0),0),IFERROR(MATCH(I8,[1]BALLNAME289_head!$B$9:$T$9,0),0),IFERROR(MATCH(I8,[1]BALLNAME289_head!$B$10:$AC$10,0),0),IFERROR(MATCH(I8,[1]BALLNAME289_head!$B$11:$AC$11,0),0),IFERROR(MATCH(I8,[1]BALLNAME289_head!$B$12:$AC$12,0),0),IFERROR(MATCH(I8,[1]BALLNAME289_head!$B$13:$V$13,0),0),IFERROR(MATCH(I8,[1]BALLNAME289_head!$B$14:$AA$14,0),0),IFERROR(MATCH(I8,[1]BALLNAME289_head!$B$15:$AA$15,0),0),IFERROR(MATCH(I8,[1]BALLNAME289_head!#REF!,0),0),IFERROR(MATCH(I8,[1]BALLNAME289_head!#REF!,0),0),IFERROR(MATCH(I8,[1]BALLNAME289_head!#REF!,0),0),IFERROR(MATCH(I8,[1]BALLNAME289_head!$B$19:$AA$19,0),0),IFERROR(MATCH(I8,[1]BALLNAME289_head!$B$20:$AA$20,0),0),IFERROR(MATCH(I8,[1]BALLNAME289_head!$B$21:$Z$21,0),0),IFERROR(MATCH(I8,[1]BALLNAME289_head!$B$22:$J$22,0),0),IFERROR(MATCH(I8,[1]BALLNAME289_head!$B$23:$Z$23,0),0))</f>
        <v>7</v>
      </c>
      <c r="C8" s="4" t="str">
        <f ca="1">OFFSET([1]BALLNAME289_head!$A$2,[1]PINMUX!CM8-1,0)&amp;OFFSET([1]BALLNAME289_head!$B$1,0,[1]PINMUX!CN8-1)</f>
        <v>E2</v>
      </c>
      <c r="D8" s="4">
        <f>MAX(IFERROR(MATCH(I8,[1]BALLNAME289!$B$2:$B$60,0),0),IFERROR(MATCH(I8,[1]BALLNAME289!$C$2:$C$60,0),0),IFERROR(MATCH(I8,[1]BALLNAME289!$D$2:$D$60,0),0),IFERROR(MATCH(I8,[1]BALLNAME289!$E$2:$E$60,0),0),IFERROR(MATCH(I8,[1]BALLNAME289!$F$2:$F$60,0),0),IFERROR(MATCH(I8,[1]BALLNAME289!$G$2:$G$60,0),0),IFERROR(MATCH(I8,[1]BALLNAME289!$H$2:$H$60,0),0),IFERROR(MATCH(I8,[1]BALLNAME289!$I$2:$I$60,0),0),IFERROR(MATCH(I8,[1]BALLNAME289!$J$2:$J$60,0),0),IFERROR(MATCH(I8,[1]BALLNAME289!$K$2:$K$60,0),0),IFERROR(MATCH(I8,[1]BALLNAME289!$L$2:$L$60,0),0),IFERROR(MATCH(I8,[1]BALLNAME289!$M$2:$M$60,0),0),IFERROR(MATCH(I8,[1]BALLNAME289!$N$2:$N$60,0),0),IFERROR(MATCH(I8,[1]BALLNAME289!$O$2:$O$60,0),0),IFERROR(MATCH(I8,[1]BALLNAME289!$P$2:$P$60,0),0),IFERROR(MATCH(I8,[1]BALLNAME289!$Q$2:$Q$60,0),0),IFERROR(MATCH(I8,[1]BALLNAME289!$R$2:$R$60,0),0),IFERROR(MATCH(I8,[1]BALLNAME289!$S$2:$S$60,0),0),IFERROR(MATCH(I8,[1]BALLNAME289!$T$2:$T$60,0),0),IFERROR(MATCH(I8,[1]BALLNAME289!$U$2:$U$60,0),0),IFERROR(MATCH(I8,[1]BALLNAME289!$V$2:$V$60,0),0),IFERROR(MATCH(I8,[1]BALLNAME289!$W$2:$W$60,0),0),IFERROR(MATCH(I8,[1]BALLNAME289!$X$2:$X$60,0),0),IFERROR(MATCH(I8,[1]BALLNAME289!$Y$2:$Y$60,0),0),IFERROR(MATCH(I8,[1]BALLNAME289!$Z$2:$Z$60,0),0),IFERROR(MATCH(I8,[1]BALLNAME289!$AA$2:$AA$60,0),0),IFERROR(MATCH(I8,[1]BALLNAME289!$AB$2:$AB$60,0),0),IFERROR(MATCH(I8,[1]BALLNAME289!$AC$2:$AC$60,0),0),IFERROR(MATCH(I8,[1]BALLNAME289!$AD$2:$AD$60,0),0),IFERROR(MATCH(I8,[1]BALLNAME289!$AE$2:$AE$60,0),0),IFERROR(MATCH(I8,[1]BALLNAME289!$AF$2:$AF$60,0),0),IFERROR(MATCH(I8,[1]BALLNAME289!$AG$2:$AG$60,0),0),IFERROR(MATCH(I8,[1]BALLNAME289!$AH$2:$AH$60,0),0),IFERROR(MATCH(I8,[1]BALLNAME289!$AI$2:$AI$60,0),0),IFERROR(MATCH(I8,[1]BALLNAME289!$AJ$2:$AJ$60,0),0),IFERROR(MATCH(I8,[1]BALLNAME289!$AK$2:$AK$60,0),0),IFERROR(MATCH(I8,[1]BALLNAME289!$AL$2:$AL$60,0),0),IFERROR(MATCH(I8,[1]BALLNAME289!$AM$2:$AM$60,0),0),IFERROR(MATCH(I8,[1]BALLNAME289!$AN$2:$AN$60,0),0),IFERROR(MATCH(I8,[1]BALLNAME289!$AO$2:$AO$60,0),0),IFERROR(MATCH(I8,[1]BALLNAME289!$AP$2:$AP$60,0),0),IFERROR(MATCH(I8,[1]BALLNAME289!$AQ$2:$AQ$60,0),0),IFERROR(MATCH(I8,[1]BALLNAME289!$AR$2:$AR$60,0),0),IFERROR(MATCH(I8,[1]BALLNAME289!$AS$2:$AS$60,0),0),IFERROR(MATCH(I8,[1]BALLNAME289!$AT$2:$AT$60,0),0),IFERROR(MATCH(I8,[1]BALLNAME289!$AU$2:$AU$60,0),0),IFERROR(MATCH(I8,[1]BALLNAME289!$AV$2:$AV$60,0),0),IFERROR(MATCH(I8,[1]BALLNAME289!$AW$2:$AW$60,0),0),IFERROR(MATCH(I8,[1]BALLNAME289!$AX$2:$AX$60,0),0),IFERROR(MATCH(I8,[1]BALLNAME289!$AY$2:$AY$60,0),0),IFERROR(MATCH(I8,[1]BALLNAME289!$AZ$2:$AZ$60,0),0))</f>
        <v>13</v>
      </c>
      <c r="E8" s="4">
        <f>MAX(IFERROR(MATCH(I8,[1]BALLNAME289!$B$2:$AZ$2,0),0),IFERROR(MATCH(I8,[1]BALLNAME289!$B$3:$AZ$3,0),0),IFERROR(MATCH(I8,[1]BALLNAME289!$B$4:$AZ$4,0),0),IFERROR(MATCH(I8,[1]BALLNAME289!$B$5:$AZ$5,0),0),IFERROR(MATCH(I8,[1]BALLNAME289!$B$6:$AZ$6,0),0),IFERROR(MATCH(I8,[1]BALLNAME289!$B$7:$AZ$7,0),0),IFERROR(MATCH(I8,[1]BALLNAME289!$B$8:$AZ$8,0),0),IFERROR(MATCH(I8,[1]BALLNAME289!$B$9:$AZ$9,0),0),IFERROR(MATCH(I8,[1]BALLNAME289!$B$10:$AZ$10,0),0),IFERROR(MATCH(I8,[1]BALLNAME289!$B$11:$AZ$11,0),0),IFERROR(MATCH(I8,[1]BALLNAME289!$B$12:$AZ$12,0),0),IFERROR(MATCH(I8,[1]BALLNAME289!$B$13:$AZ$13,0),0),IFERROR(MATCH(I8,[1]BALLNAME289!$B$14:$AZ$14,0),0),IFERROR(MATCH(I8,[1]BALLNAME289!$B$15:$AZ$15,0),0),IFERROR(MATCH(I8,[1]BALLNAME289!$B$16:$AZ$16,0),0),IFERROR(MATCH(I8,[1]BALLNAME289!$B$17:$AZ$17,0),0),IFERROR(MATCH(I8,[1]BALLNAME289!$B$18:$AZ$18,0),0),IFERROR(MATCH(I8,[1]BALLNAME289!$B$19:$AZ$19,0),0),IFERROR(MATCH(I8,[1]BALLNAME289!$B$20:$AZ$20,0),0),IFERROR(MATCH(I8,[1]BALLNAME289!$B$21:$AZ$21,0),0),IFERROR(MATCH(I8,[1]BALLNAME289!$B$22:$AZ$22,0),0),IFERROR(MATCH(I8,[1]BALLNAME289!$B$23:$AZ$23,0),0),IFERROR(MATCH(I8,[1]BALLNAME289!$B$24:$AZ$24,0),0),IFERROR(MATCH(I8,[1]BALLNAME289!$B$25:$AZ$25,0),0),IFERROR(MATCH(I8,[1]BALLNAME289!$B$26:$AZ$26,0),0),IFERROR(MATCH(I8,[1]BALLNAME289!$B$27:$AZ$27,0),0),IFERROR(MATCH(I8,[1]BALLNAME289!$B$28:$AZ$28,0),0),IFERROR(MATCH(I8,[1]BALLNAME289!$B$29:$AZ$29,0),0),IFERROR(MATCH(I8,[1]BALLNAME289!$B$30:$AZ$30,0),0),IFERROR(MATCH(I8,[1]BALLNAME289!$B$31:$AZ$31,0),0),IFERROR(MATCH(I8,[1]BALLNAME289!$B$32:$AZ$32,0),0),IFERROR(MATCH(I8,[1]BALLNAME289!$B$33:$AZ$33,0),0),IFERROR(MATCH(I8,[1]BALLNAME289!$B$34:$AZ$34,0),0),IFERROR(MATCH(I8,[1]BALLNAME289!$B$35:$AZ$35,0),0),IFERROR(MATCH(I8,[1]BALLNAME289!$B$36:$AZ$36,0),0),IFERROR(MATCH(I8,[1]BALLNAME289!$B$37:$AZ$37,0),0),IFERROR(MATCH(I8,[1]BALLNAME289!$B$38:$AZ$38,0),0),IFERROR(MATCH(I8,[1]BALLNAME289!$B$39:$AZ$39,0),0),IFERROR(MATCH(I8,[1]BALLNAME289!$B$40:$AZ$40,0),0),IFERROR(MATCH(I8,[1]BALLNAME289!$B$41:$AZ$41,0),0),IFERROR(MATCH(I8,[1]BALLNAME289!$B$42:$AZ$42,0),0),IFERROR(MATCH(I8,[1]BALLNAME289!$B$43:$AZ$43,0),0),IFERROR(MATCH(I8,[1]BALLNAME289!$B$44:$AZ$44,0),0),IFERROR(MATCH(I8,[1]BALLNAME289!$B$45:$AZ$45,0),0),IFERROR(MATCH(I8,[1]BALLNAME289!$B$46:$AZ$46,0),0),IFERROR(MATCH(I8,[1]BALLNAME289!$B$47:$AZ$47,0),0),IFERROR(MATCH(I8,[1]BALLNAME289!$B$48:$AZ$48,0),0),IFERROR(MATCH(I8,[1]BALLNAME289!$B$49:$AZ$49,0),0),IFERROR(MATCH(I8,[1]BALLNAME289!$B$50:$AZ$50,0),0),IFERROR(MATCH(I8,[1]BALLNAME289!$B$51:$AZ$51,0),0),IFERROR(MATCH(I8,[1]BALLNAME289!$B$52:$AZ$52,0),0),IFERROR(MATCH(I8,[1]BALLNAME289!$B$53:$AZ$53,0),0),IFERROR(MATCH(I8,[1]BALLNAME289!$B$54:$AZ$54,0),0),IFERROR(MATCH(I8,[1]BALLNAME289!$B$55:$AZ$55,0),0),IFERROR(MATCH(I8,[1]BALLNAME289!$B$56:$AZ$56,0),0),IFERROR(MATCH(I8,[1]BALLNAME289!$B$57:$AZ$57,0),0),IFERROR(MATCH(I8,[1]BALLNAME289!$B$58:$AZ$58,0),0),IFERROR(MATCH(I8,[1]BALLNAME289!$B$59:$AZ$59,0),0),IFERROR(MATCH(I8,[1]BALLNAME289!$B$60:$AZ$60,0),0))</f>
        <v>7</v>
      </c>
      <c r="F8" s="4" t="str">
        <f ca="1">OFFSET([1]BALLNAME144!$A$2,D8-1,0)&amp;OFFSET([1]BALLNAME144!$B$1,0,E8-1)</f>
        <v>7</v>
      </c>
      <c r="G8" s="4">
        <f t="shared" si="0"/>
        <v>14</v>
      </c>
      <c r="H8" s="4">
        <f t="shared" si="0"/>
        <v>8</v>
      </c>
      <c r="I8" s="4" t="s">
        <v>2179</v>
      </c>
      <c r="J8" s="4">
        <v>4</v>
      </c>
      <c r="K8" s="4" t="s">
        <v>2168</v>
      </c>
      <c r="L8" s="4" t="s">
        <v>57</v>
      </c>
      <c r="N8" s="4" t="s">
        <v>2280</v>
      </c>
      <c r="O8" s="4" t="s">
        <v>2281</v>
      </c>
      <c r="P8" s="4" t="s">
        <v>2282</v>
      </c>
      <c r="Q8" s="4" t="s">
        <v>2283</v>
      </c>
      <c r="AZ8" s="4" t="s">
        <v>2245</v>
      </c>
    </row>
    <row r="9" spans="1:52" s="4" customFormat="1" x14ac:dyDescent="0.3">
      <c r="A9" s="4">
        <f>MAX(IFERROR(MATCH(I9,[1]BALLNAME289_head!$B$2:$B$23,0),0),IFERROR(MATCH(I9,[1]BALLNAME289_head!$C$2:$C$22,0),0),IFERROR(MATCH(I9,[1]BALLNAME289_head!$D$2:$D$23,0),0),IFERROR(MATCH(I9,[1]BALLNAME289_head!$E$19:$E$22,0),0),IFERROR(MATCH(I9,[1]BALLNAME289_head!$F$2:$F$21,0),0),IFERROR(MATCH(I9,[1]BALLNAME289_head!$G$2:$G$19,0),0),IFERROR(MATCH(I9,[1]BALLNAME289_head!$H$2:$H$21,0),0),IFERROR(MATCH(I9,[1]BALLNAME289_head!$I$2:$I$19,0),0),IFERROR(MATCH(I9,[1]BALLNAME289_head!$J$2:$J$23,0),0),IFERROR(MATCH(I9,[1]BALLNAME289_head!$K$2:$K$23,0),0),IFERROR(MATCH(I9,[1]BALLNAME289_head!$L$2:$L$22,0),0),IFERROR(MATCH(I9,[1]BALLNAME289_head!$M$2:$M$23,0),0),IFERROR(MATCH(I9,[1]BALLNAME289_head!$N$2:$N$23,0),0),IFERROR(MATCH(I9,[1]BALLNAME289_head!$O$2:$O$19,0),0),IFERROR(MATCH(I9,[1]BALLNAME289_head!#REF!,0),0),IFERROR(MATCH(I9,[1]BALLNAME289_head!$Q$2:$Q$19,0),0),IFERROR(MATCH(I9,[1]BALLNAME289_head!$R$2:$R$19,0),0),IFERROR(MATCH(I9,[1]BALLNAME289_head!$S$2:$S$22,0),0),IFERROR(MATCH(I9,[1]BALLNAME289_head!$T$2:$T$22,0),0),IFERROR(MATCH(I9,[1]BALLNAME289_head!$AA$2:$AA$27,0),0),IFERROR(MATCH(I9,[1]BALLNAME289_head!$AB$2:$AB$27,0),0),IFERROR(MATCH(I9,[1]BALLNAME289_head!$AC$2:$AC$27,0),0))</f>
        <v>14</v>
      </c>
      <c r="B9" s="4">
        <f>MAX(IFERROR(MATCH(I9,[1]BALLNAME289_head!$B$2:$AA$2,0),0),IFERROR(MATCH(I9,[1]BALLNAME289_head!$B$3:$AA$3,0),0),IFERROR(MATCH(I9,[1]BALLNAME289_head!$B$4:$AA$4,0),0),IFERROR(MATCH(I9,[1]BALLNAME289_head!$B$5:$S$5,0),0),IFERROR(MATCH(I9,[1]BALLNAME289_head!$B$6:$AA$6,0),0),IFERROR(MATCH(I9,[1]BALLNAME289_head!$B$7:$S$7,0),0),IFERROR(MATCH(I9,[1]BALLNAME289_head!$B$8:$T$8,0),0),IFERROR(MATCH(I9,[1]BALLNAME289_head!$B$9:$T$9,0),0),IFERROR(MATCH(I9,[1]BALLNAME289_head!$B$10:$AC$10,0),0),IFERROR(MATCH(I9,[1]BALLNAME289_head!$B$11:$AC$11,0),0),IFERROR(MATCH(I9,[1]BALLNAME289_head!$B$12:$AC$12,0),0),IFERROR(MATCH(I9,[1]BALLNAME289_head!$B$13:$V$13,0),0),IFERROR(MATCH(I9,[1]BALLNAME289_head!$B$14:$AA$14,0),0),IFERROR(MATCH(I9,[1]BALLNAME289_head!$B$15:$AA$15,0),0),IFERROR(MATCH(I9,[1]BALLNAME289_head!#REF!,0),0),IFERROR(MATCH(I9,[1]BALLNAME289_head!#REF!,0),0),IFERROR(MATCH(I9,[1]BALLNAME289_head!#REF!,0),0),IFERROR(MATCH(I9,[1]BALLNAME289_head!$B$19:$AA$19,0),0),IFERROR(MATCH(I9,[1]BALLNAME289_head!$B$20:$AA$20,0),0),IFERROR(MATCH(I9,[1]BALLNAME289_head!$B$21:$Z$21,0),0),IFERROR(MATCH(I9,[1]BALLNAME289_head!$B$22:$J$22,0),0),IFERROR(MATCH(I9,[1]BALLNAME289_head!$B$23:$Z$23,0),0))</f>
        <v>6</v>
      </c>
      <c r="C9" s="4" t="str">
        <f ca="1">OFFSET([1]BALLNAME289_head!$A$2,[1]PINMUX!CM9-1,0)&amp;OFFSET([1]BALLNAME289_head!$B$1,0,[1]PINMUX!CN9-1)</f>
        <v>D3</v>
      </c>
      <c r="D9" s="4">
        <f>MAX(IFERROR(MATCH(I9,[1]BALLNAME289!$B$2:$B$60,0),0),IFERROR(MATCH(I9,[1]BALLNAME289!$C$2:$C$60,0),0),IFERROR(MATCH(I9,[1]BALLNAME289!$D$2:$D$60,0),0),IFERROR(MATCH(I9,[1]BALLNAME289!$E$2:$E$60,0),0),IFERROR(MATCH(I9,[1]BALLNAME289!$F$2:$F$60,0),0),IFERROR(MATCH(I9,[1]BALLNAME289!$G$2:$G$60,0),0),IFERROR(MATCH(I9,[1]BALLNAME289!$H$2:$H$60,0),0),IFERROR(MATCH(I9,[1]BALLNAME289!$I$2:$I$60,0),0),IFERROR(MATCH(I9,[1]BALLNAME289!$J$2:$J$60,0),0),IFERROR(MATCH(I9,[1]BALLNAME289!$K$2:$K$60,0),0),IFERROR(MATCH(I9,[1]BALLNAME289!$L$2:$L$60,0),0),IFERROR(MATCH(I9,[1]BALLNAME289!$M$2:$M$60,0),0),IFERROR(MATCH(I9,[1]BALLNAME289!$N$2:$N$60,0),0),IFERROR(MATCH(I9,[1]BALLNAME289!$O$2:$O$60,0),0),IFERROR(MATCH(I9,[1]BALLNAME289!$P$2:$P$60,0),0),IFERROR(MATCH(I9,[1]BALLNAME289!$Q$2:$Q$60,0),0),IFERROR(MATCH(I9,[1]BALLNAME289!$R$2:$R$60,0),0),IFERROR(MATCH(I9,[1]BALLNAME289!$S$2:$S$60,0),0),IFERROR(MATCH(I9,[1]BALLNAME289!$T$2:$T$60,0),0),IFERROR(MATCH(I9,[1]BALLNAME289!$U$2:$U$60,0),0),IFERROR(MATCH(I9,[1]BALLNAME289!$V$2:$V$60,0),0),IFERROR(MATCH(I9,[1]BALLNAME289!$W$2:$W$60,0),0),IFERROR(MATCH(I9,[1]BALLNAME289!$X$2:$X$60,0),0),IFERROR(MATCH(I9,[1]BALLNAME289!$Y$2:$Y$60,0),0),IFERROR(MATCH(I9,[1]BALLNAME289!$Z$2:$Z$60,0),0),IFERROR(MATCH(I9,[1]BALLNAME289!$AA$2:$AA$60,0),0),IFERROR(MATCH(I9,[1]BALLNAME289!$AB$2:$AB$60,0),0),IFERROR(MATCH(I9,[1]BALLNAME289!$AC$2:$AC$60,0),0),IFERROR(MATCH(I9,[1]BALLNAME289!$AD$2:$AD$60,0),0),IFERROR(MATCH(I9,[1]BALLNAME289!$AE$2:$AE$60,0),0),IFERROR(MATCH(I9,[1]BALLNAME289!$AF$2:$AF$60,0),0),IFERROR(MATCH(I9,[1]BALLNAME289!$AG$2:$AG$60,0),0),IFERROR(MATCH(I9,[1]BALLNAME289!$AH$2:$AH$60,0),0),IFERROR(MATCH(I9,[1]BALLNAME289!$AI$2:$AI$60,0),0),IFERROR(MATCH(I9,[1]BALLNAME289!$AJ$2:$AJ$60,0),0),IFERROR(MATCH(I9,[1]BALLNAME289!$AK$2:$AK$60,0),0),IFERROR(MATCH(I9,[1]BALLNAME289!$AL$2:$AL$60,0),0),IFERROR(MATCH(I9,[1]BALLNAME289!$AM$2:$AM$60,0),0),IFERROR(MATCH(I9,[1]BALLNAME289!$AN$2:$AN$60,0),0),IFERROR(MATCH(I9,[1]BALLNAME289!$AO$2:$AO$60,0),0),IFERROR(MATCH(I9,[1]BALLNAME289!$AP$2:$AP$60,0),0),IFERROR(MATCH(I9,[1]BALLNAME289!$AQ$2:$AQ$60,0),0),IFERROR(MATCH(I9,[1]BALLNAME289!$AR$2:$AR$60,0),0),IFERROR(MATCH(I9,[1]BALLNAME289!$AS$2:$AS$60,0),0),IFERROR(MATCH(I9,[1]BALLNAME289!$AT$2:$AT$60,0),0),IFERROR(MATCH(I9,[1]BALLNAME289!$AU$2:$AU$60,0),0),IFERROR(MATCH(I9,[1]BALLNAME289!$AV$2:$AV$60,0),0),IFERROR(MATCH(I9,[1]BALLNAME289!$AW$2:$AW$60,0),0),IFERROR(MATCH(I9,[1]BALLNAME289!$AX$2:$AX$60,0),0),IFERROR(MATCH(I9,[1]BALLNAME289!$AY$2:$AY$60,0),0),IFERROR(MATCH(I9,[1]BALLNAME289!$AZ$2:$AZ$60,0),0))</f>
        <v>14</v>
      </c>
      <c r="E9" s="4">
        <f>MAX(IFERROR(MATCH(I9,[1]BALLNAME289!$B$2:$AZ$2,0),0),IFERROR(MATCH(I9,[1]BALLNAME289!$B$3:$AZ$3,0),0),IFERROR(MATCH(I9,[1]BALLNAME289!$B$4:$AZ$4,0),0),IFERROR(MATCH(I9,[1]BALLNAME289!$B$5:$AZ$5,0),0),IFERROR(MATCH(I9,[1]BALLNAME289!$B$6:$AZ$6,0),0),IFERROR(MATCH(I9,[1]BALLNAME289!$B$7:$AZ$7,0),0),IFERROR(MATCH(I9,[1]BALLNAME289!$B$8:$AZ$8,0),0),IFERROR(MATCH(I9,[1]BALLNAME289!$B$9:$AZ$9,0),0),IFERROR(MATCH(I9,[1]BALLNAME289!$B$10:$AZ$10,0),0),IFERROR(MATCH(I9,[1]BALLNAME289!$B$11:$AZ$11,0),0),IFERROR(MATCH(I9,[1]BALLNAME289!$B$12:$AZ$12,0),0),IFERROR(MATCH(I9,[1]BALLNAME289!$B$13:$AZ$13,0),0),IFERROR(MATCH(I9,[1]BALLNAME289!$B$14:$AZ$14,0),0),IFERROR(MATCH(I9,[1]BALLNAME289!$B$15:$AZ$15,0),0),IFERROR(MATCH(I9,[1]BALLNAME289!$B$16:$AZ$16,0),0),IFERROR(MATCH(I9,[1]BALLNAME289!$B$17:$AZ$17,0),0),IFERROR(MATCH(I9,[1]BALLNAME289!$B$18:$AZ$18,0),0),IFERROR(MATCH(I9,[1]BALLNAME289!$B$19:$AZ$19,0),0),IFERROR(MATCH(I9,[1]BALLNAME289!$B$20:$AZ$20,0),0),IFERROR(MATCH(I9,[1]BALLNAME289!$B$21:$AZ$21,0),0),IFERROR(MATCH(I9,[1]BALLNAME289!$B$22:$AZ$22,0),0),IFERROR(MATCH(I9,[1]BALLNAME289!$B$23:$AZ$23,0),0),IFERROR(MATCH(I9,[1]BALLNAME289!$B$24:$AZ$24,0),0),IFERROR(MATCH(I9,[1]BALLNAME289!$B$25:$AZ$25,0),0),IFERROR(MATCH(I9,[1]BALLNAME289!$B$26:$AZ$26,0),0),IFERROR(MATCH(I9,[1]BALLNAME289!$B$27:$AZ$27,0),0),IFERROR(MATCH(I9,[1]BALLNAME289!$B$28:$AZ$28,0),0),IFERROR(MATCH(I9,[1]BALLNAME289!$B$29:$AZ$29,0),0),IFERROR(MATCH(I9,[1]BALLNAME289!$B$30:$AZ$30,0),0),IFERROR(MATCH(I9,[1]BALLNAME289!$B$31:$AZ$31,0),0),IFERROR(MATCH(I9,[1]BALLNAME289!$B$32:$AZ$32,0),0),IFERROR(MATCH(I9,[1]BALLNAME289!$B$33:$AZ$33,0),0),IFERROR(MATCH(I9,[1]BALLNAME289!$B$34:$AZ$34,0),0),IFERROR(MATCH(I9,[1]BALLNAME289!$B$35:$AZ$35,0),0),IFERROR(MATCH(I9,[1]BALLNAME289!$B$36:$AZ$36,0),0),IFERROR(MATCH(I9,[1]BALLNAME289!$B$37:$AZ$37,0),0),IFERROR(MATCH(I9,[1]BALLNAME289!$B$38:$AZ$38,0),0),IFERROR(MATCH(I9,[1]BALLNAME289!$B$39:$AZ$39,0),0),IFERROR(MATCH(I9,[1]BALLNAME289!$B$40:$AZ$40,0),0),IFERROR(MATCH(I9,[1]BALLNAME289!$B$41:$AZ$41,0),0),IFERROR(MATCH(I9,[1]BALLNAME289!$B$42:$AZ$42,0),0),IFERROR(MATCH(I9,[1]BALLNAME289!$B$43:$AZ$43,0),0),IFERROR(MATCH(I9,[1]BALLNAME289!$B$44:$AZ$44,0),0),IFERROR(MATCH(I9,[1]BALLNAME289!$B$45:$AZ$45,0),0),IFERROR(MATCH(I9,[1]BALLNAME289!$B$46:$AZ$46,0),0),IFERROR(MATCH(I9,[1]BALLNAME289!$B$47:$AZ$47,0),0),IFERROR(MATCH(I9,[1]BALLNAME289!$B$48:$AZ$48,0),0),IFERROR(MATCH(I9,[1]BALLNAME289!$B$49:$AZ$49,0),0),IFERROR(MATCH(I9,[1]BALLNAME289!$B$50:$AZ$50,0),0),IFERROR(MATCH(I9,[1]BALLNAME289!$B$51:$AZ$51,0),0),IFERROR(MATCH(I9,[1]BALLNAME289!$B$52:$AZ$52,0),0),IFERROR(MATCH(I9,[1]BALLNAME289!$B$53:$AZ$53,0),0),IFERROR(MATCH(I9,[1]BALLNAME289!$B$54:$AZ$54,0),0),IFERROR(MATCH(I9,[1]BALLNAME289!$B$55:$AZ$55,0),0),IFERROR(MATCH(I9,[1]BALLNAME289!$B$56:$AZ$56,0),0),IFERROR(MATCH(I9,[1]BALLNAME289!$B$57:$AZ$57,0),0),IFERROR(MATCH(I9,[1]BALLNAME289!$B$58:$AZ$58,0),0),IFERROR(MATCH(I9,[1]BALLNAME289!$B$59:$AZ$59,0),0),IFERROR(MATCH(I9,[1]BALLNAME289!$B$60:$AZ$60,0),0))</f>
        <v>6</v>
      </c>
      <c r="F9" s="4" t="str">
        <f ca="1">OFFSET([1]BALLNAME144!$A$2,D9-1,0)&amp;OFFSET([1]BALLNAME144!$B$1,0,E9-1)</f>
        <v>6</v>
      </c>
      <c r="G9" s="4">
        <f t="shared" si="0"/>
        <v>15</v>
      </c>
      <c r="H9" s="4">
        <f t="shared" si="0"/>
        <v>7</v>
      </c>
      <c r="I9" s="4" t="s">
        <v>2188</v>
      </c>
      <c r="J9" s="4">
        <v>3</v>
      </c>
      <c r="K9" s="4" t="s">
        <v>2168</v>
      </c>
      <c r="L9" s="4" t="s">
        <v>57</v>
      </c>
      <c r="N9" s="4" t="s">
        <v>2284</v>
      </c>
      <c r="O9" s="4" t="s">
        <v>2277</v>
      </c>
      <c r="P9" s="4" t="s">
        <v>2285</v>
      </c>
      <c r="Q9" s="4" t="s">
        <v>2286</v>
      </c>
      <c r="AZ9" s="4" t="s">
        <v>2245</v>
      </c>
    </row>
    <row r="10" spans="1:52" s="4" customFormat="1" x14ac:dyDescent="0.3">
      <c r="A10" s="4">
        <f>MAX(IFERROR(MATCH(I10,[1]BALLNAME289_head!$B$2:$B$23,0),0),IFERROR(MATCH(I10,[1]BALLNAME289_head!$C$2:$C$22,0),0),IFERROR(MATCH(I10,[1]BALLNAME289_head!$D$2:$D$23,0),0),IFERROR(MATCH(I10,[1]BALLNAME289_head!$E$19:$E$22,0),0),IFERROR(MATCH(I10,[1]BALLNAME289_head!$F$2:$F$21,0),0),IFERROR(MATCH(I10,[1]BALLNAME289_head!$G$2:$G$19,0),0),IFERROR(MATCH(I10,[1]BALLNAME289_head!$H$2:$H$21,0),0),IFERROR(MATCH(I10,[1]BALLNAME289_head!$I$2:$I$19,0),0),IFERROR(MATCH(I10,[1]BALLNAME289_head!$J$2:$J$23,0),0),IFERROR(MATCH(I10,[1]BALLNAME289_head!$K$2:$K$23,0),0),IFERROR(MATCH(I10,[1]BALLNAME289_head!$L$2:$L$22,0),0),IFERROR(MATCH(I10,[1]BALLNAME289_head!$M$2:$M$23,0),0),IFERROR(MATCH(I10,[1]BALLNAME289_head!$N$2:$N$23,0),0),IFERROR(MATCH(I10,[1]BALLNAME289_head!$O$2:$O$19,0),0),IFERROR(MATCH(I10,[1]BALLNAME289_head!#REF!,0),0),IFERROR(MATCH(I10,[1]BALLNAME289_head!$Q$2:$Q$19,0),0),IFERROR(MATCH(I10,[1]BALLNAME289_head!$R$2:$R$19,0),0),IFERROR(MATCH(I10,[1]BALLNAME289_head!$S$2:$S$22,0),0),IFERROR(MATCH(I10,[1]BALLNAME289_head!$T$2:$T$22,0),0),IFERROR(MATCH(I10,[1]BALLNAME289_head!$AA$2:$AA$27,0),0),IFERROR(MATCH(I10,[1]BALLNAME289_head!$AB$2:$AB$27,0),0),IFERROR(MATCH(I10,[1]BALLNAME289_head!$AC$2:$AC$27,0),0))</f>
        <v>13</v>
      </c>
      <c r="B10" s="4">
        <f>MAX(IFERROR(MATCH(I10,[1]BALLNAME289_head!$B$2:$AA$2,0),0),IFERROR(MATCH(I10,[1]BALLNAME289_head!$B$3:$AA$3,0),0),IFERROR(MATCH(I10,[1]BALLNAME289_head!$B$4:$AA$4,0),0),IFERROR(MATCH(I10,[1]BALLNAME289_head!$B$5:$S$5,0),0),IFERROR(MATCH(I10,[1]BALLNAME289_head!$B$6:$AA$6,0),0),IFERROR(MATCH(I10,[1]BALLNAME289_head!$B$7:$S$7,0),0),IFERROR(MATCH(I10,[1]BALLNAME289_head!$B$8:$T$8,0),0),IFERROR(MATCH(I10,[1]BALLNAME289_head!$B$9:$T$9,0),0),IFERROR(MATCH(I10,[1]BALLNAME289_head!$B$10:$AC$10,0),0),IFERROR(MATCH(I10,[1]BALLNAME289_head!$B$11:$AC$11,0),0),IFERROR(MATCH(I10,[1]BALLNAME289_head!$B$12:$AC$12,0),0),IFERROR(MATCH(I10,[1]BALLNAME289_head!$B$13:$V$13,0),0),IFERROR(MATCH(I10,[1]BALLNAME289_head!$B$14:$AA$14,0),0),IFERROR(MATCH(I10,[1]BALLNAME289_head!$B$15:$AA$15,0),0),IFERROR(MATCH(I10,[1]BALLNAME289_head!#REF!,0),0),IFERROR(MATCH(I10,[1]BALLNAME289_head!#REF!,0),0),IFERROR(MATCH(I10,[1]BALLNAME289_head!#REF!,0),0),IFERROR(MATCH(I10,[1]BALLNAME289_head!$B$19:$AA$19,0),0),IFERROR(MATCH(I10,[1]BALLNAME289_head!$B$20:$AA$20,0),0),IFERROR(MATCH(I10,[1]BALLNAME289_head!$B$21:$Z$21,0),0),IFERROR(MATCH(I10,[1]BALLNAME289_head!$B$22:$J$22,0),0),IFERROR(MATCH(I10,[1]BALLNAME289_head!$B$23:$Z$23,0),0))</f>
        <v>6</v>
      </c>
      <c r="C10" s="4" t="str">
        <f ca="1">OFFSET([1]BALLNAME289_head!$A$2,[1]PINMUX!CM10-1,0)&amp;OFFSET([1]BALLNAME289_head!$B$1,0,[1]PINMUX!CN10-1)</f>
        <v>D4</v>
      </c>
      <c r="D10" s="4">
        <f>MAX(IFERROR(MATCH(I10,[1]BALLNAME289!$B$2:$B$60,0),0),IFERROR(MATCH(I10,[1]BALLNAME289!$C$2:$C$60,0),0),IFERROR(MATCH(I10,[1]BALLNAME289!$D$2:$D$60,0),0),IFERROR(MATCH(I10,[1]BALLNAME289!$E$2:$E$60,0),0),IFERROR(MATCH(I10,[1]BALLNAME289!$F$2:$F$60,0),0),IFERROR(MATCH(I10,[1]BALLNAME289!$G$2:$G$60,0),0),IFERROR(MATCH(I10,[1]BALLNAME289!$H$2:$H$60,0),0),IFERROR(MATCH(I10,[1]BALLNAME289!$I$2:$I$60,0),0),IFERROR(MATCH(I10,[1]BALLNAME289!$J$2:$J$60,0),0),IFERROR(MATCH(I10,[1]BALLNAME289!$K$2:$K$60,0),0),IFERROR(MATCH(I10,[1]BALLNAME289!$L$2:$L$60,0),0),IFERROR(MATCH(I10,[1]BALLNAME289!$M$2:$M$60,0),0),IFERROR(MATCH(I10,[1]BALLNAME289!$N$2:$N$60,0),0),IFERROR(MATCH(I10,[1]BALLNAME289!$O$2:$O$60,0),0),IFERROR(MATCH(I10,[1]BALLNAME289!$P$2:$P$60,0),0),IFERROR(MATCH(I10,[1]BALLNAME289!$Q$2:$Q$60,0),0),IFERROR(MATCH(I10,[1]BALLNAME289!$R$2:$R$60,0),0),IFERROR(MATCH(I10,[1]BALLNAME289!$S$2:$S$60,0),0),IFERROR(MATCH(I10,[1]BALLNAME289!$T$2:$T$60,0),0),IFERROR(MATCH(I10,[1]BALLNAME289!$U$2:$U$60,0),0),IFERROR(MATCH(I10,[1]BALLNAME289!$V$2:$V$60,0),0),IFERROR(MATCH(I10,[1]BALLNAME289!$W$2:$W$60,0),0),IFERROR(MATCH(I10,[1]BALLNAME289!$X$2:$X$60,0),0),IFERROR(MATCH(I10,[1]BALLNAME289!$Y$2:$Y$60,0),0),IFERROR(MATCH(I10,[1]BALLNAME289!$Z$2:$Z$60,0),0),IFERROR(MATCH(I10,[1]BALLNAME289!$AA$2:$AA$60,0),0),IFERROR(MATCH(I10,[1]BALLNAME289!$AB$2:$AB$60,0),0),IFERROR(MATCH(I10,[1]BALLNAME289!$AC$2:$AC$60,0),0),IFERROR(MATCH(I10,[1]BALLNAME289!$AD$2:$AD$60,0),0),IFERROR(MATCH(I10,[1]BALLNAME289!$AE$2:$AE$60,0),0),IFERROR(MATCH(I10,[1]BALLNAME289!$AF$2:$AF$60,0),0),IFERROR(MATCH(I10,[1]BALLNAME289!$AG$2:$AG$60,0),0),IFERROR(MATCH(I10,[1]BALLNAME289!$AH$2:$AH$60,0),0),IFERROR(MATCH(I10,[1]BALLNAME289!$AI$2:$AI$60,0),0),IFERROR(MATCH(I10,[1]BALLNAME289!$AJ$2:$AJ$60,0),0),IFERROR(MATCH(I10,[1]BALLNAME289!$AK$2:$AK$60,0),0),IFERROR(MATCH(I10,[1]BALLNAME289!$AL$2:$AL$60,0),0),IFERROR(MATCH(I10,[1]BALLNAME289!$AM$2:$AM$60,0),0),IFERROR(MATCH(I10,[1]BALLNAME289!$AN$2:$AN$60,0),0),IFERROR(MATCH(I10,[1]BALLNAME289!$AO$2:$AO$60,0),0),IFERROR(MATCH(I10,[1]BALLNAME289!$AP$2:$AP$60,0),0),IFERROR(MATCH(I10,[1]BALLNAME289!$AQ$2:$AQ$60,0),0),IFERROR(MATCH(I10,[1]BALLNAME289!$AR$2:$AR$60,0),0),IFERROR(MATCH(I10,[1]BALLNAME289!$AS$2:$AS$60,0),0),IFERROR(MATCH(I10,[1]BALLNAME289!$AT$2:$AT$60,0),0),IFERROR(MATCH(I10,[1]BALLNAME289!$AU$2:$AU$60,0),0),IFERROR(MATCH(I10,[1]BALLNAME289!$AV$2:$AV$60,0),0),IFERROR(MATCH(I10,[1]BALLNAME289!$AW$2:$AW$60,0),0),IFERROR(MATCH(I10,[1]BALLNAME289!$AX$2:$AX$60,0),0),IFERROR(MATCH(I10,[1]BALLNAME289!$AY$2:$AY$60,0),0),IFERROR(MATCH(I10,[1]BALLNAME289!$AZ$2:$AZ$60,0),0))</f>
        <v>13</v>
      </c>
      <c r="E10" s="4">
        <f>MAX(IFERROR(MATCH(I10,[1]BALLNAME289!$B$2:$AZ$2,0),0),IFERROR(MATCH(I10,[1]BALLNAME289!$B$3:$AZ$3,0),0),IFERROR(MATCH(I10,[1]BALLNAME289!$B$4:$AZ$4,0),0),IFERROR(MATCH(I10,[1]BALLNAME289!$B$5:$AZ$5,0),0),IFERROR(MATCH(I10,[1]BALLNAME289!$B$6:$AZ$6,0),0),IFERROR(MATCH(I10,[1]BALLNAME289!$B$7:$AZ$7,0),0),IFERROR(MATCH(I10,[1]BALLNAME289!$B$8:$AZ$8,0),0),IFERROR(MATCH(I10,[1]BALLNAME289!$B$9:$AZ$9,0),0),IFERROR(MATCH(I10,[1]BALLNAME289!$B$10:$AZ$10,0),0),IFERROR(MATCH(I10,[1]BALLNAME289!$B$11:$AZ$11,0),0),IFERROR(MATCH(I10,[1]BALLNAME289!$B$12:$AZ$12,0),0),IFERROR(MATCH(I10,[1]BALLNAME289!$B$13:$AZ$13,0),0),IFERROR(MATCH(I10,[1]BALLNAME289!$B$14:$AZ$14,0),0),IFERROR(MATCH(I10,[1]BALLNAME289!$B$15:$AZ$15,0),0),IFERROR(MATCH(I10,[1]BALLNAME289!$B$16:$AZ$16,0),0),IFERROR(MATCH(I10,[1]BALLNAME289!$B$17:$AZ$17,0),0),IFERROR(MATCH(I10,[1]BALLNAME289!$B$18:$AZ$18,0),0),IFERROR(MATCH(I10,[1]BALLNAME289!$B$19:$AZ$19,0),0),IFERROR(MATCH(I10,[1]BALLNAME289!$B$20:$AZ$20,0),0),IFERROR(MATCH(I10,[1]BALLNAME289!$B$21:$AZ$21,0),0),IFERROR(MATCH(I10,[1]BALLNAME289!$B$22:$AZ$22,0),0),IFERROR(MATCH(I10,[1]BALLNAME289!$B$23:$AZ$23,0),0),IFERROR(MATCH(I10,[1]BALLNAME289!$B$24:$AZ$24,0),0),IFERROR(MATCH(I10,[1]BALLNAME289!$B$25:$AZ$25,0),0),IFERROR(MATCH(I10,[1]BALLNAME289!$B$26:$AZ$26,0),0),IFERROR(MATCH(I10,[1]BALLNAME289!$B$27:$AZ$27,0),0),IFERROR(MATCH(I10,[1]BALLNAME289!$B$28:$AZ$28,0),0),IFERROR(MATCH(I10,[1]BALLNAME289!$B$29:$AZ$29,0),0),IFERROR(MATCH(I10,[1]BALLNAME289!$B$30:$AZ$30,0),0),IFERROR(MATCH(I10,[1]BALLNAME289!$B$31:$AZ$31,0),0),IFERROR(MATCH(I10,[1]BALLNAME289!$B$32:$AZ$32,0),0),IFERROR(MATCH(I10,[1]BALLNAME289!$B$33:$AZ$33,0),0),IFERROR(MATCH(I10,[1]BALLNAME289!$B$34:$AZ$34,0),0),IFERROR(MATCH(I10,[1]BALLNAME289!$B$35:$AZ$35,0),0),IFERROR(MATCH(I10,[1]BALLNAME289!$B$36:$AZ$36,0),0),IFERROR(MATCH(I10,[1]BALLNAME289!$B$37:$AZ$37,0),0),IFERROR(MATCH(I10,[1]BALLNAME289!$B$38:$AZ$38,0),0),IFERROR(MATCH(I10,[1]BALLNAME289!$B$39:$AZ$39,0),0),IFERROR(MATCH(I10,[1]BALLNAME289!$B$40:$AZ$40,0),0),IFERROR(MATCH(I10,[1]BALLNAME289!$B$41:$AZ$41,0),0),IFERROR(MATCH(I10,[1]BALLNAME289!$B$42:$AZ$42,0),0),IFERROR(MATCH(I10,[1]BALLNAME289!$B$43:$AZ$43,0),0),IFERROR(MATCH(I10,[1]BALLNAME289!$B$44:$AZ$44,0),0),IFERROR(MATCH(I10,[1]BALLNAME289!$B$45:$AZ$45,0),0),IFERROR(MATCH(I10,[1]BALLNAME289!$B$46:$AZ$46,0),0),IFERROR(MATCH(I10,[1]BALLNAME289!$B$47:$AZ$47,0),0),IFERROR(MATCH(I10,[1]BALLNAME289!$B$48:$AZ$48,0),0),IFERROR(MATCH(I10,[1]BALLNAME289!$B$49:$AZ$49,0),0),IFERROR(MATCH(I10,[1]BALLNAME289!$B$50:$AZ$50,0),0),IFERROR(MATCH(I10,[1]BALLNAME289!$B$51:$AZ$51,0),0),IFERROR(MATCH(I10,[1]BALLNAME289!$B$52:$AZ$52,0),0),IFERROR(MATCH(I10,[1]BALLNAME289!$B$53:$AZ$53,0),0),IFERROR(MATCH(I10,[1]BALLNAME289!$B$54:$AZ$54,0),0),IFERROR(MATCH(I10,[1]BALLNAME289!$B$55:$AZ$55,0),0),IFERROR(MATCH(I10,[1]BALLNAME289!$B$56:$AZ$56,0),0),IFERROR(MATCH(I10,[1]BALLNAME289!$B$57:$AZ$57,0),0),IFERROR(MATCH(I10,[1]BALLNAME289!$B$58:$AZ$58,0),0),IFERROR(MATCH(I10,[1]BALLNAME289!$B$59:$AZ$59,0),0),IFERROR(MATCH(I10,[1]BALLNAME289!$B$60:$AZ$60,0),0))</f>
        <v>6</v>
      </c>
      <c r="F10" s="4" t="str">
        <f ca="1">OFFSET([1]BALLNAME144!$A$2,D10-1,0)&amp;OFFSET([1]BALLNAME144!$B$1,0,E10-1)</f>
        <v>6</v>
      </c>
      <c r="G10" s="4">
        <f t="shared" si="0"/>
        <v>14</v>
      </c>
      <c r="H10" s="4">
        <f t="shared" si="0"/>
        <v>7</v>
      </c>
      <c r="I10" s="4" t="s">
        <v>2250</v>
      </c>
      <c r="J10" s="4">
        <v>3</v>
      </c>
      <c r="K10" s="4" t="s">
        <v>2168</v>
      </c>
      <c r="L10" s="4" t="s">
        <v>57</v>
      </c>
      <c r="N10" s="4" t="s">
        <v>2287</v>
      </c>
      <c r="O10" s="4" t="s">
        <v>2277</v>
      </c>
      <c r="P10" s="4" t="s">
        <v>2288</v>
      </c>
      <c r="Q10" s="4" t="s">
        <v>2289</v>
      </c>
      <c r="AZ10" s="4" t="s">
        <v>2245</v>
      </c>
    </row>
    <row r="11" spans="1:52" s="4" customFormat="1" x14ac:dyDescent="0.3">
      <c r="A11" s="4">
        <f>MAX(IFERROR(MATCH(I11,[1]BALLNAME289_head!$B$2:$B$23,0),0),IFERROR(MATCH(I11,[1]BALLNAME289_head!$C$2:$C$22,0),0),IFERROR(MATCH(I11,[1]BALLNAME289_head!$D$2:$D$23,0),0),IFERROR(MATCH(I11,[1]BALLNAME289_head!$E$19:$E$22,0),0),IFERROR(MATCH(I11,[1]BALLNAME289_head!$F$2:$F$21,0),0),IFERROR(MATCH(I11,[1]BALLNAME289_head!$G$2:$G$19,0),0),IFERROR(MATCH(I11,[1]BALLNAME289_head!$H$2:$H$21,0),0),IFERROR(MATCH(I11,[1]BALLNAME289_head!$I$2:$I$19,0),0),IFERROR(MATCH(I11,[1]BALLNAME289_head!$J$2:$J$23,0),0),IFERROR(MATCH(I11,[1]BALLNAME289_head!$K$2:$K$23,0),0),IFERROR(MATCH(I11,[1]BALLNAME289_head!$L$2:$L$22,0),0),IFERROR(MATCH(I11,[1]BALLNAME289_head!$M$2:$M$23,0),0),IFERROR(MATCH(I11,[1]BALLNAME289_head!$N$2:$N$23,0),0),IFERROR(MATCH(I11,[1]BALLNAME289_head!$O$2:$O$19,0),0),IFERROR(MATCH(I11,[1]BALLNAME289_head!#REF!,0),0),IFERROR(MATCH(I11,[1]BALLNAME289_head!$Q$2:$Q$19,0),0),IFERROR(MATCH(I11,[1]BALLNAME289_head!$R$2:$R$19,0),0),IFERROR(MATCH(I11,[1]BALLNAME289_head!$S$2:$S$22,0),0),IFERROR(MATCH(I11,[1]BALLNAME289_head!$T$2:$T$22,0),0),IFERROR(MATCH(I11,[1]BALLNAME289_head!$AA$2:$AA$27,0),0),IFERROR(MATCH(I11,[1]BALLNAME289_head!$AB$2:$AB$27,0),0),IFERROR(MATCH(I11,[1]BALLNAME289_head!$AC$2:$AC$27,0),0))</f>
        <v>0</v>
      </c>
      <c r="B11" s="4">
        <f>MAX(IFERROR(MATCH(I11,[1]BALLNAME289_head!$B$2:$AA$2,0),0),IFERROR(MATCH(I11,[1]BALLNAME289_head!$B$3:$AA$3,0),0),IFERROR(MATCH(I11,[1]BALLNAME289_head!$B$4:$AA$4,0),0),IFERROR(MATCH(I11,[1]BALLNAME289_head!$B$5:$S$5,0),0),IFERROR(MATCH(I11,[1]BALLNAME289_head!$B$6:$AA$6,0),0),IFERROR(MATCH(I11,[1]BALLNAME289_head!$B$7:$S$7,0),0),IFERROR(MATCH(I11,[1]BALLNAME289_head!$B$8:$T$8,0),0),IFERROR(MATCH(I11,[1]BALLNAME289_head!$B$9:$T$9,0),0),IFERROR(MATCH(I11,[1]BALLNAME289_head!$B$10:$AC$10,0),0),IFERROR(MATCH(I11,[1]BALLNAME289_head!$B$11:$AC$11,0),0),IFERROR(MATCH(I11,[1]BALLNAME289_head!$B$12:$AC$12,0),0),IFERROR(MATCH(I11,[1]BALLNAME289_head!$B$13:$V$13,0),0),IFERROR(MATCH(I11,[1]BALLNAME289_head!$B$14:$AA$14,0),0),IFERROR(MATCH(I11,[1]BALLNAME289_head!$B$15:$AA$15,0),0),IFERROR(MATCH(I11,[1]BALLNAME289_head!#REF!,0),0),IFERROR(MATCH(I11,[1]BALLNAME289_head!#REF!,0),0),IFERROR(MATCH(I11,[1]BALLNAME289_head!#REF!,0),0),IFERROR(MATCH(I11,[1]BALLNAME289_head!$B$19:$AA$19,0),0),IFERROR(MATCH(I11,[1]BALLNAME289_head!$B$20:$AA$20,0),0),IFERROR(MATCH(I11,[1]BALLNAME289_head!$B$21:$Z$21,0),0),IFERROR(MATCH(I11,[1]BALLNAME289_head!$B$22:$J$22,0),0),IFERROR(MATCH(I11,[1]BALLNAME289_head!$B$23:$Z$23,0),0))</f>
        <v>0</v>
      </c>
      <c r="C11" s="4" t="str">
        <f ca="1">OFFSET([1]BALLNAME289_head!$A$2,[1]PINMUX!CM11-1,0)&amp;OFFSET([1]BALLNAME289_head!$B$1,0,[1]PINMUX!CN11-1)</f>
        <v>F1</v>
      </c>
      <c r="D11" s="4">
        <f>MAX(IFERROR(MATCH(I11,[1]BALLNAME289!$B$2:$B$60,0),0),IFERROR(MATCH(I11,[1]BALLNAME289!$C$2:$C$60,0),0),IFERROR(MATCH(I11,[1]BALLNAME289!$D$2:$D$60,0),0),IFERROR(MATCH(I11,[1]BALLNAME289!$E$2:$E$60,0),0),IFERROR(MATCH(I11,[1]BALLNAME289!$F$2:$F$60,0),0),IFERROR(MATCH(I11,[1]BALLNAME289!$G$2:$G$60,0),0),IFERROR(MATCH(I11,[1]BALLNAME289!$H$2:$H$60,0),0),IFERROR(MATCH(I11,[1]BALLNAME289!$I$2:$I$60,0),0),IFERROR(MATCH(I11,[1]BALLNAME289!$J$2:$J$60,0),0),IFERROR(MATCH(I11,[1]BALLNAME289!$K$2:$K$60,0),0),IFERROR(MATCH(I11,[1]BALLNAME289!$L$2:$L$60,0),0),IFERROR(MATCH(I11,[1]BALLNAME289!$M$2:$M$60,0),0),IFERROR(MATCH(I11,[1]BALLNAME289!$N$2:$N$60,0),0),IFERROR(MATCH(I11,[1]BALLNAME289!$O$2:$O$60,0),0),IFERROR(MATCH(I11,[1]BALLNAME289!$P$2:$P$60,0),0),IFERROR(MATCH(I11,[1]BALLNAME289!$Q$2:$Q$60,0),0),IFERROR(MATCH(I11,[1]BALLNAME289!$R$2:$R$60,0),0),IFERROR(MATCH(I11,[1]BALLNAME289!$S$2:$S$60,0),0),IFERROR(MATCH(I11,[1]BALLNAME289!$T$2:$T$60,0),0),IFERROR(MATCH(I11,[1]BALLNAME289!$U$2:$U$60,0),0),IFERROR(MATCH(I11,[1]BALLNAME289!$V$2:$V$60,0),0),IFERROR(MATCH(I11,[1]BALLNAME289!$W$2:$W$60,0),0),IFERROR(MATCH(I11,[1]BALLNAME289!$X$2:$X$60,0),0),IFERROR(MATCH(I11,[1]BALLNAME289!$Y$2:$Y$60,0),0),IFERROR(MATCH(I11,[1]BALLNAME289!$Z$2:$Z$60,0),0),IFERROR(MATCH(I11,[1]BALLNAME289!$AA$2:$AA$60,0),0),IFERROR(MATCH(I11,[1]BALLNAME289!$AB$2:$AB$60,0),0),IFERROR(MATCH(I11,[1]BALLNAME289!$AC$2:$AC$60,0),0),IFERROR(MATCH(I11,[1]BALLNAME289!$AD$2:$AD$60,0),0),IFERROR(MATCH(I11,[1]BALLNAME289!$AE$2:$AE$60,0),0),IFERROR(MATCH(I11,[1]BALLNAME289!$AF$2:$AF$60,0),0),IFERROR(MATCH(I11,[1]BALLNAME289!$AG$2:$AG$60,0),0),IFERROR(MATCH(I11,[1]BALLNAME289!$AH$2:$AH$60,0),0),IFERROR(MATCH(I11,[1]BALLNAME289!$AI$2:$AI$60,0),0),IFERROR(MATCH(I11,[1]BALLNAME289!$AJ$2:$AJ$60,0),0),IFERROR(MATCH(I11,[1]BALLNAME289!$AK$2:$AK$60,0),0),IFERROR(MATCH(I11,[1]BALLNAME289!$AL$2:$AL$60,0),0),IFERROR(MATCH(I11,[1]BALLNAME289!$AM$2:$AM$60,0),0),IFERROR(MATCH(I11,[1]BALLNAME289!$AN$2:$AN$60,0),0),IFERROR(MATCH(I11,[1]BALLNAME289!$AO$2:$AO$60,0),0),IFERROR(MATCH(I11,[1]BALLNAME289!$AP$2:$AP$60,0),0),IFERROR(MATCH(I11,[1]BALLNAME289!$AQ$2:$AQ$60,0),0),IFERROR(MATCH(I11,[1]BALLNAME289!$AR$2:$AR$60,0),0),IFERROR(MATCH(I11,[1]BALLNAME289!$AS$2:$AS$60,0),0),IFERROR(MATCH(I11,[1]BALLNAME289!$AT$2:$AT$60,0),0),IFERROR(MATCH(I11,[1]BALLNAME289!$AU$2:$AU$60,0),0),IFERROR(MATCH(I11,[1]BALLNAME289!$AV$2:$AV$60,0),0),IFERROR(MATCH(I11,[1]BALLNAME289!$AW$2:$AW$60,0),0),IFERROR(MATCH(I11,[1]BALLNAME289!$AX$2:$AX$60,0),0),IFERROR(MATCH(I11,[1]BALLNAME289!$AY$2:$AY$60,0),0),IFERROR(MATCH(I11,[1]BALLNAME289!$AZ$2:$AZ$60,0),0))</f>
        <v>33</v>
      </c>
      <c r="E11" s="4">
        <f>MAX(IFERROR(MATCH(I11,[1]BALLNAME289!$B$2:$AZ$2,0),0),IFERROR(MATCH(I11,[1]BALLNAME289!$B$3:$AZ$3,0),0),IFERROR(MATCH(I11,[1]BALLNAME289!$B$4:$AZ$4,0),0),IFERROR(MATCH(I11,[1]BALLNAME289!$B$5:$AZ$5,0),0),IFERROR(MATCH(I11,[1]BALLNAME289!$B$6:$AZ$6,0),0),IFERROR(MATCH(I11,[1]BALLNAME289!$B$7:$AZ$7,0),0),IFERROR(MATCH(I11,[1]BALLNAME289!$B$8:$AZ$8,0),0),IFERROR(MATCH(I11,[1]BALLNAME289!$B$9:$AZ$9,0),0),IFERROR(MATCH(I11,[1]BALLNAME289!$B$10:$AZ$10,0),0),IFERROR(MATCH(I11,[1]BALLNAME289!$B$11:$AZ$11,0),0),IFERROR(MATCH(I11,[1]BALLNAME289!$B$12:$AZ$12,0),0),IFERROR(MATCH(I11,[1]BALLNAME289!$B$13:$AZ$13,0),0),IFERROR(MATCH(I11,[1]BALLNAME289!$B$14:$AZ$14,0),0),IFERROR(MATCH(I11,[1]BALLNAME289!$B$15:$AZ$15,0),0),IFERROR(MATCH(I11,[1]BALLNAME289!$B$16:$AZ$16,0),0),IFERROR(MATCH(I11,[1]BALLNAME289!$B$17:$AZ$17,0),0),IFERROR(MATCH(I11,[1]BALLNAME289!$B$18:$AZ$18,0),0),IFERROR(MATCH(I11,[1]BALLNAME289!$B$19:$AZ$19,0),0),IFERROR(MATCH(I11,[1]BALLNAME289!$B$20:$AZ$20,0),0),IFERROR(MATCH(I11,[1]BALLNAME289!$B$21:$AZ$21,0),0),IFERROR(MATCH(I11,[1]BALLNAME289!$B$22:$AZ$22,0),0),IFERROR(MATCH(I11,[1]BALLNAME289!$B$23:$AZ$23,0),0),IFERROR(MATCH(I11,[1]BALLNAME289!$B$24:$AZ$24,0),0),IFERROR(MATCH(I11,[1]BALLNAME289!$B$25:$AZ$25,0),0),IFERROR(MATCH(I11,[1]BALLNAME289!$B$26:$AZ$26,0),0),IFERROR(MATCH(I11,[1]BALLNAME289!$B$27:$AZ$27,0),0),IFERROR(MATCH(I11,[1]BALLNAME289!$B$28:$AZ$28,0),0),IFERROR(MATCH(I11,[1]BALLNAME289!$B$29:$AZ$29,0),0),IFERROR(MATCH(I11,[1]BALLNAME289!$B$30:$AZ$30,0),0),IFERROR(MATCH(I11,[1]BALLNAME289!$B$31:$AZ$31,0),0),IFERROR(MATCH(I11,[1]BALLNAME289!$B$32:$AZ$32,0),0),IFERROR(MATCH(I11,[1]BALLNAME289!$B$33:$AZ$33,0),0),IFERROR(MATCH(I11,[1]BALLNAME289!$B$34:$AZ$34,0),0),IFERROR(MATCH(I11,[1]BALLNAME289!$B$35:$AZ$35,0),0),IFERROR(MATCH(I11,[1]BALLNAME289!$B$36:$AZ$36,0),0),IFERROR(MATCH(I11,[1]BALLNAME289!$B$37:$AZ$37,0),0),IFERROR(MATCH(I11,[1]BALLNAME289!$B$38:$AZ$38,0),0),IFERROR(MATCH(I11,[1]BALLNAME289!$B$39:$AZ$39,0),0),IFERROR(MATCH(I11,[1]BALLNAME289!$B$40:$AZ$40,0),0),IFERROR(MATCH(I11,[1]BALLNAME289!$B$41:$AZ$41,0),0),IFERROR(MATCH(I11,[1]BALLNAME289!$B$42:$AZ$42,0),0),IFERROR(MATCH(I11,[1]BALLNAME289!$B$43:$AZ$43,0),0),IFERROR(MATCH(I11,[1]BALLNAME289!$B$44:$AZ$44,0),0),IFERROR(MATCH(I11,[1]BALLNAME289!$B$45:$AZ$45,0),0),IFERROR(MATCH(I11,[1]BALLNAME289!$B$46:$AZ$46,0),0),IFERROR(MATCH(I11,[1]BALLNAME289!$B$47:$AZ$47,0),0),IFERROR(MATCH(I11,[1]BALLNAME289!$B$48:$AZ$48,0),0),IFERROR(MATCH(I11,[1]BALLNAME289!$B$49:$AZ$49,0),0),IFERROR(MATCH(I11,[1]BALLNAME289!$B$50:$AZ$50,0),0),IFERROR(MATCH(I11,[1]BALLNAME289!$B$51:$AZ$51,0),0),IFERROR(MATCH(I11,[1]BALLNAME289!$B$52:$AZ$52,0),0),IFERROR(MATCH(I11,[1]BALLNAME289!$B$53:$AZ$53,0),0),IFERROR(MATCH(I11,[1]BALLNAME289!$B$54:$AZ$54,0),0),IFERROR(MATCH(I11,[1]BALLNAME289!$B$55:$AZ$55,0),0),IFERROR(MATCH(I11,[1]BALLNAME289!$B$56:$AZ$56,0),0),IFERROR(MATCH(I11,[1]BALLNAME289!$B$57:$AZ$57,0),0),IFERROR(MATCH(I11,[1]BALLNAME289!$B$58:$AZ$58,0),0),IFERROR(MATCH(I11,[1]BALLNAME289!$B$59:$AZ$59,0),0),IFERROR(MATCH(I11,[1]BALLNAME289!$B$60:$AZ$60,0),0))</f>
        <v>4</v>
      </c>
      <c r="F11" s="4" t="str">
        <f ca="1">OFFSET([1]BALLNAME144!$A$2,D11-1,0)&amp;OFFSET([1]BALLNAME144!$B$1,0,E11-1)</f>
        <v>4</v>
      </c>
      <c r="G11" s="4">
        <f t="shared" si="0"/>
        <v>34</v>
      </c>
      <c r="H11" s="4">
        <f t="shared" si="0"/>
        <v>5</v>
      </c>
      <c r="I11" s="4" t="s">
        <v>2251</v>
      </c>
      <c r="J11" s="4">
        <v>3</v>
      </c>
      <c r="K11" s="4" t="s">
        <v>2168</v>
      </c>
      <c r="L11" s="4" t="s">
        <v>57</v>
      </c>
      <c r="N11" s="4" t="s">
        <v>2290</v>
      </c>
      <c r="O11" s="4" t="s">
        <v>2277</v>
      </c>
      <c r="P11" s="4" t="s">
        <v>2291</v>
      </c>
      <c r="Q11" s="4" t="s">
        <v>2292</v>
      </c>
      <c r="AZ11" s="4" t="s">
        <v>2245</v>
      </c>
    </row>
    <row r="12" spans="1:52" s="4" customFormat="1" x14ac:dyDescent="0.3">
      <c r="A12" s="4">
        <f>MAX(IFERROR(MATCH(I12,[1]BALLNAME289_head!$B$2:$B$23,0),0),IFERROR(MATCH(I12,[1]BALLNAME289_head!$C$2:$C$22,0),0),IFERROR(MATCH(I12,[1]BALLNAME289_head!$D$2:$D$23,0),0),IFERROR(MATCH(I12,[1]BALLNAME289_head!$E$19:$E$22,0),0),IFERROR(MATCH(I12,[1]BALLNAME289_head!$F$2:$F$21,0),0),IFERROR(MATCH(I12,[1]BALLNAME289_head!$G$2:$G$19,0),0),IFERROR(MATCH(I12,[1]BALLNAME289_head!$H$2:$H$21,0),0),IFERROR(MATCH(I12,[1]BALLNAME289_head!$I$2:$I$19,0),0),IFERROR(MATCH(I12,[1]BALLNAME289_head!$J$2:$J$23,0),0),IFERROR(MATCH(I12,[1]BALLNAME289_head!$K$2:$K$23,0),0),IFERROR(MATCH(I12,[1]BALLNAME289_head!$L$2:$L$22,0),0),IFERROR(MATCH(I12,[1]BALLNAME289_head!$M$2:$M$23,0),0),IFERROR(MATCH(I12,[1]BALLNAME289_head!$N$2:$N$23,0),0),IFERROR(MATCH(I12,[1]BALLNAME289_head!$O$2:$O$19,0),0),IFERROR(MATCH(I12,[1]BALLNAME289_head!#REF!,0),0),IFERROR(MATCH(I12,[1]BALLNAME289_head!$Q$2:$Q$19,0),0),IFERROR(MATCH(I12,[1]BALLNAME289_head!$R$2:$R$19,0),0),IFERROR(MATCH(I12,[1]BALLNAME289_head!$S$2:$S$22,0),0),IFERROR(MATCH(I12,[1]BALLNAME289_head!$T$2:$T$22,0),0),IFERROR(MATCH(I12,[1]BALLNAME289_head!$AA$2:$AA$27,0),0),IFERROR(MATCH(I12,[1]BALLNAME289_head!$AB$2:$AB$27,0),0),IFERROR(MATCH(I12,[1]BALLNAME289_head!$AC$2:$AC$27,0),0))</f>
        <v>0</v>
      </c>
      <c r="B12" s="4">
        <f>MAX(IFERROR(MATCH(I12,[1]BALLNAME289_head!$B$2:$AA$2,0),0),IFERROR(MATCH(I12,[1]BALLNAME289_head!$B$3:$AA$3,0),0),IFERROR(MATCH(I12,[1]BALLNAME289_head!$B$4:$AA$4,0),0),IFERROR(MATCH(I12,[1]BALLNAME289_head!$B$5:$S$5,0),0),IFERROR(MATCH(I12,[1]BALLNAME289_head!$B$6:$AA$6,0),0),IFERROR(MATCH(I12,[1]BALLNAME289_head!$B$7:$S$7,0),0),IFERROR(MATCH(I12,[1]BALLNAME289_head!$B$8:$T$8,0),0),IFERROR(MATCH(I12,[1]BALLNAME289_head!$B$9:$T$9,0),0),IFERROR(MATCH(I12,[1]BALLNAME289_head!$B$10:$AC$10,0),0),IFERROR(MATCH(I12,[1]BALLNAME289_head!$B$11:$AC$11,0),0),IFERROR(MATCH(I12,[1]BALLNAME289_head!$B$12:$AC$12,0),0),IFERROR(MATCH(I12,[1]BALLNAME289_head!$B$13:$V$13,0),0),IFERROR(MATCH(I12,[1]BALLNAME289_head!$B$14:$AA$14,0),0),IFERROR(MATCH(I12,[1]BALLNAME289_head!$B$15:$AA$15,0),0),IFERROR(MATCH(I12,[1]BALLNAME289_head!#REF!,0),0),IFERROR(MATCH(I12,[1]BALLNAME289_head!#REF!,0),0),IFERROR(MATCH(I12,[1]BALLNAME289_head!#REF!,0),0),IFERROR(MATCH(I12,[1]BALLNAME289_head!$B$19:$AA$19,0),0),IFERROR(MATCH(I12,[1]BALLNAME289_head!$B$20:$AA$20,0),0),IFERROR(MATCH(I12,[1]BALLNAME289_head!$B$21:$Z$21,0),0),IFERROR(MATCH(I12,[1]BALLNAME289_head!$B$22:$J$22,0),0),IFERROR(MATCH(I12,[1]BALLNAME289_head!$B$23:$Z$23,0),0))</f>
        <v>0</v>
      </c>
      <c r="C12" s="4" t="str">
        <f ca="1">OFFSET([1]BALLNAME289_head!$A$2,[1]PINMUX!CM12-1,0)&amp;OFFSET([1]BALLNAME289_head!$B$1,0,[1]PINMUX!CN12-1)</f>
        <v>E1</v>
      </c>
      <c r="D12" s="4">
        <f>MAX(IFERROR(MATCH(I12,[1]BALLNAME289!$B$2:$B$60,0),0),IFERROR(MATCH(I12,[1]BALLNAME289!$C$2:$C$60,0),0),IFERROR(MATCH(I12,[1]BALLNAME289!$D$2:$D$60,0),0),IFERROR(MATCH(I12,[1]BALLNAME289!$E$2:$E$60,0),0),IFERROR(MATCH(I12,[1]BALLNAME289!$F$2:$F$60,0),0),IFERROR(MATCH(I12,[1]BALLNAME289!$G$2:$G$60,0),0),IFERROR(MATCH(I12,[1]BALLNAME289!$H$2:$H$60,0),0),IFERROR(MATCH(I12,[1]BALLNAME289!$I$2:$I$60,0),0),IFERROR(MATCH(I12,[1]BALLNAME289!$J$2:$J$60,0),0),IFERROR(MATCH(I12,[1]BALLNAME289!$K$2:$K$60,0),0),IFERROR(MATCH(I12,[1]BALLNAME289!$L$2:$L$60,0),0),IFERROR(MATCH(I12,[1]BALLNAME289!$M$2:$M$60,0),0),IFERROR(MATCH(I12,[1]BALLNAME289!$N$2:$N$60,0),0),IFERROR(MATCH(I12,[1]BALLNAME289!$O$2:$O$60,0),0),IFERROR(MATCH(I12,[1]BALLNAME289!$P$2:$P$60,0),0),IFERROR(MATCH(I12,[1]BALLNAME289!$Q$2:$Q$60,0),0),IFERROR(MATCH(I12,[1]BALLNAME289!$R$2:$R$60,0),0),IFERROR(MATCH(I12,[1]BALLNAME289!$S$2:$S$60,0),0),IFERROR(MATCH(I12,[1]BALLNAME289!$T$2:$T$60,0),0),IFERROR(MATCH(I12,[1]BALLNAME289!$U$2:$U$60,0),0),IFERROR(MATCH(I12,[1]BALLNAME289!$V$2:$V$60,0),0),IFERROR(MATCH(I12,[1]BALLNAME289!$W$2:$W$60,0),0),IFERROR(MATCH(I12,[1]BALLNAME289!$X$2:$X$60,0),0),IFERROR(MATCH(I12,[1]BALLNAME289!$Y$2:$Y$60,0),0),IFERROR(MATCH(I12,[1]BALLNAME289!$Z$2:$Z$60,0),0),IFERROR(MATCH(I12,[1]BALLNAME289!$AA$2:$AA$60,0),0),IFERROR(MATCH(I12,[1]BALLNAME289!$AB$2:$AB$60,0),0),IFERROR(MATCH(I12,[1]BALLNAME289!$AC$2:$AC$60,0),0),IFERROR(MATCH(I12,[1]BALLNAME289!$AD$2:$AD$60,0),0),IFERROR(MATCH(I12,[1]BALLNAME289!$AE$2:$AE$60,0),0),IFERROR(MATCH(I12,[1]BALLNAME289!$AF$2:$AF$60,0),0),IFERROR(MATCH(I12,[1]BALLNAME289!$AG$2:$AG$60,0),0),IFERROR(MATCH(I12,[1]BALLNAME289!$AH$2:$AH$60,0),0),IFERROR(MATCH(I12,[1]BALLNAME289!$AI$2:$AI$60,0),0),IFERROR(MATCH(I12,[1]BALLNAME289!$AJ$2:$AJ$60,0),0),IFERROR(MATCH(I12,[1]BALLNAME289!$AK$2:$AK$60,0),0),IFERROR(MATCH(I12,[1]BALLNAME289!$AL$2:$AL$60,0),0),IFERROR(MATCH(I12,[1]BALLNAME289!$AM$2:$AM$60,0),0),IFERROR(MATCH(I12,[1]BALLNAME289!$AN$2:$AN$60,0),0),IFERROR(MATCH(I12,[1]BALLNAME289!$AO$2:$AO$60,0),0),IFERROR(MATCH(I12,[1]BALLNAME289!$AP$2:$AP$60,0),0),IFERROR(MATCH(I12,[1]BALLNAME289!$AQ$2:$AQ$60,0),0),IFERROR(MATCH(I12,[1]BALLNAME289!$AR$2:$AR$60,0),0),IFERROR(MATCH(I12,[1]BALLNAME289!$AS$2:$AS$60,0),0),IFERROR(MATCH(I12,[1]BALLNAME289!$AT$2:$AT$60,0),0),IFERROR(MATCH(I12,[1]BALLNAME289!$AU$2:$AU$60,0),0),IFERROR(MATCH(I12,[1]BALLNAME289!$AV$2:$AV$60,0),0),IFERROR(MATCH(I12,[1]BALLNAME289!$AW$2:$AW$60,0),0),IFERROR(MATCH(I12,[1]BALLNAME289!$AX$2:$AX$60,0),0),IFERROR(MATCH(I12,[1]BALLNAME289!$AY$2:$AY$60,0),0),IFERROR(MATCH(I12,[1]BALLNAME289!$AZ$2:$AZ$60,0),0))</f>
        <v>32</v>
      </c>
      <c r="E12" s="4">
        <f>MAX(IFERROR(MATCH(I12,[1]BALLNAME289!$B$2:$AZ$2,0),0),IFERROR(MATCH(I12,[1]BALLNAME289!$B$3:$AZ$3,0),0),IFERROR(MATCH(I12,[1]BALLNAME289!$B$4:$AZ$4,0),0),IFERROR(MATCH(I12,[1]BALLNAME289!$B$5:$AZ$5,0),0),IFERROR(MATCH(I12,[1]BALLNAME289!$B$6:$AZ$6,0),0),IFERROR(MATCH(I12,[1]BALLNAME289!$B$7:$AZ$7,0),0),IFERROR(MATCH(I12,[1]BALLNAME289!$B$8:$AZ$8,0),0),IFERROR(MATCH(I12,[1]BALLNAME289!$B$9:$AZ$9,0),0),IFERROR(MATCH(I12,[1]BALLNAME289!$B$10:$AZ$10,0),0),IFERROR(MATCH(I12,[1]BALLNAME289!$B$11:$AZ$11,0),0),IFERROR(MATCH(I12,[1]BALLNAME289!$B$12:$AZ$12,0),0),IFERROR(MATCH(I12,[1]BALLNAME289!$B$13:$AZ$13,0),0),IFERROR(MATCH(I12,[1]BALLNAME289!$B$14:$AZ$14,0),0),IFERROR(MATCH(I12,[1]BALLNAME289!$B$15:$AZ$15,0),0),IFERROR(MATCH(I12,[1]BALLNAME289!$B$16:$AZ$16,0),0),IFERROR(MATCH(I12,[1]BALLNAME289!$B$17:$AZ$17,0),0),IFERROR(MATCH(I12,[1]BALLNAME289!$B$18:$AZ$18,0),0),IFERROR(MATCH(I12,[1]BALLNAME289!$B$19:$AZ$19,0),0),IFERROR(MATCH(I12,[1]BALLNAME289!$B$20:$AZ$20,0),0),IFERROR(MATCH(I12,[1]BALLNAME289!$B$21:$AZ$21,0),0),IFERROR(MATCH(I12,[1]BALLNAME289!$B$22:$AZ$22,0),0),IFERROR(MATCH(I12,[1]BALLNAME289!$B$23:$AZ$23,0),0),IFERROR(MATCH(I12,[1]BALLNAME289!$B$24:$AZ$24,0),0),IFERROR(MATCH(I12,[1]BALLNAME289!$B$25:$AZ$25,0),0),IFERROR(MATCH(I12,[1]BALLNAME289!$B$26:$AZ$26,0),0),IFERROR(MATCH(I12,[1]BALLNAME289!$B$27:$AZ$27,0),0),IFERROR(MATCH(I12,[1]BALLNAME289!$B$28:$AZ$28,0),0),IFERROR(MATCH(I12,[1]BALLNAME289!$B$29:$AZ$29,0),0),IFERROR(MATCH(I12,[1]BALLNAME289!$B$30:$AZ$30,0),0),IFERROR(MATCH(I12,[1]BALLNAME289!$B$31:$AZ$31,0),0),IFERROR(MATCH(I12,[1]BALLNAME289!$B$32:$AZ$32,0),0),IFERROR(MATCH(I12,[1]BALLNAME289!$B$33:$AZ$33,0),0),IFERROR(MATCH(I12,[1]BALLNAME289!$B$34:$AZ$34,0),0),IFERROR(MATCH(I12,[1]BALLNAME289!$B$35:$AZ$35,0),0),IFERROR(MATCH(I12,[1]BALLNAME289!$B$36:$AZ$36,0),0),IFERROR(MATCH(I12,[1]BALLNAME289!$B$37:$AZ$37,0),0),IFERROR(MATCH(I12,[1]BALLNAME289!$B$38:$AZ$38,0),0),IFERROR(MATCH(I12,[1]BALLNAME289!$B$39:$AZ$39,0),0),IFERROR(MATCH(I12,[1]BALLNAME289!$B$40:$AZ$40,0),0),IFERROR(MATCH(I12,[1]BALLNAME289!$B$41:$AZ$41,0),0),IFERROR(MATCH(I12,[1]BALLNAME289!$B$42:$AZ$42,0),0),IFERROR(MATCH(I12,[1]BALLNAME289!$B$43:$AZ$43,0),0),IFERROR(MATCH(I12,[1]BALLNAME289!$B$44:$AZ$44,0),0),IFERROR(MATCH(I12,[1]BALLNAME289!$B$45:$AZ$45,0),0),IFERROR(MATCH(I12,[1]BALLNAME289!$B$46:$AZ$46,0),0),IFERROR(MATCH(I12,[1]BALLNAME289!$B$47:$AZ$47,0),0),IFERROR(MATCH(I12,[1]BALLNAME289!$B$48:$AZ$48,0),0),IFERROR(MATCH(I12,[1]BALLNAME289!$B$49:$AZ$49,0),0),IFERROR(MATCH(I12,[1]BALLNAME289!$B$50:$AZ$50,0),0),IFERROR(MATCH(I12,[1]BALLNAME289!$B$51:$AZ$51,0),0),IFERROR(MATCH(I12,[1]BALLNAME289!$B$52:$AZ$52,0),0),IFERROR(MATCH(I12,[1]BALLNAME289!$B$53:$AZ$53,0),0),IFERROR(MATCH(I12,[1]BALLNAME289!$B$54:$AZ$54,0),0),IFERROR(MATCH(I12,[1]BALLNAME289!$B$55:$AZ$55,0),0),IFERROR(MATCH(I12,[1]BALLNAME289!$B$56:$AZ$56,0),0),IFERROR(MATCH(I12,[1]BALLNAME289!$B$57:$AZ$57,0),0),IFERROR(MATCH(I12,[1]BALLNAME289!$B$58:$AZ$58,0),0),IFERROR(MATCH(I12,[1]BALLNAME289!$B$59:$AZ$59,0),0),IFERROR(MATCH(I12,[1]BALLNAME289!$B$60:$AZ$60,0),0))</f>
        <v>4</v>
      </c>
      <c r="F12" s="4" t="str">
        <f ca="1">OFFSET([1]BALLNAME144!$A$2,D12-1,0)&amp;OFFSET([1]BALLNAME144!$B$1,0,E12-1)</f>
        <v>4</v>
      </c>
      <c r="G12" s="4">
        <f t="shared" si="0"/>
        <v>33</v>
      </c>
      <c r="H12" s="4">
        <f t="shared" si="0"/>
        <v>5</v>
      </c>
      <c r="I12" s="4" t="s">
        <v>2252</v>
      </c>
      <c r="J12" s="4">
        <v>3</v>
      </c>
      <c r="K12" s="4" t="s">
        <v>2168</v>
      </c>
      <c r="L12" s="4" t="s">
        <v>57</v>
      </c>
      <c r="N12" s="4" t="s">
        <v>2293</v>
      </c>
      <c r="O12" s="4" t="s">
        <v>2277</v>
      </c>
      <c r="P12" s="4" t="s">
        <v>2294</v>
      </c>
      <c r="Q12" s="4" t="s">
        <v>2295</v>
      </c>
      <c r="AZ12" s="4" t="s">
        <v>2245</v>
      </c>
    </row>
    <row r="13" spans="1:52" s="4" customFormat="1" x14ac:dyDescent="0.3">
      <c r="A13" s="4">
        <f>MAX(IFERROR(MATCH(I13,[1]BALLNAME289_head!$B$2:$B$23,0),0),IFERROR(MATCH(I13,[1]BALLNAME289_head!$C$2:$C$22,0),0),IFERROR(MATCH(I13,[1]BALLNAME289_head!$D$2:$D$23,0),0),IFERROR(MATCH(I13,[1]BALLNAME289_head!$E$19:$E$22,0),0),IFERROR(MATCH(I13,[1]BALLNAME289_head!$F$2:$F$21,0),0),IFERROR(MATCH(I13,[1]BALLNAME289_head!$G$2:$G$19,0),0),IFERROR(MATCH(I13,[1]BALLNAME289_head!$H$2:$H$21,0),0),IFERROR(MATCH(I13,[1]BALLNAME289_head!$I$2:$I$19,0),0),IFERROR(MATCH(I13,[1]BALLNAME289_head!$J$2:$J$23,0),0),IFERROR(MATCH(I13,[1]BALLNAME289_head!$K$2:$K$23,0),0),IFERROR(MATCH(I13,[1]BALLNAME289_head!$L$2:$L$22,0),0),IFERROR(MATCH(I13,[1]BALLNAME289_head!$M$2:$M$23,0),0),IFERROR(MATCH(I13,[1]BALLNAME289_head!$N$2:$N$23,0),0),IFERROR(MATCH(I13,[1]BALLNAME289_head!$O$2:$O$19,0),0),IFERROR(MATCH(I13,[1]BALLNAME289_head!#REF!,0),0),IFERROR(MATCH(I13,[1]BALLNAME289_head!$Q$2:$Q$19,0),0),IFERROR(MATCH(I13,[1]BALLNAME289_head!$R$2:$R$19,0),0),IFERROR(MATCH(I13,[1]BALLNAME289_head!$S$2:$S$22,0),0),IFERROR(MATCH(I13,[1]BALLNAME289_head!$T$2:$T$22,0),0),IFERROR(MATCH(I13,[1]BALLNAME289_head!$AA$2:$AA$27,0),0),IFERROR(MATCH(I13,[1]BALLNAME289_head!$AB$2:$AB$27,0),0),IFERROR(MATCH(I13,[1]BALLNAME289_head!$AC$2:$AC$27,0),0))</f>
        <v>0</v>
      </c>
      <c r="B13" s="4">
        <f>MAX(IFERROR(MATCH(I13,[1]BALLNAME289_head!$B$2:$AA$2,0),0),IFERROR(MATCH(I13,[1]BALLNAME289_head!$B$3:$AA$3,0),0),IFERROR(MATCH(I13,[1]BALLNAME289_head!$B$4:$AA$4,0),0),IFERROR(MATCH(I13,[1]BALLNAME289_head!$B$5:$S$5,0),0),IFERROR(MATCH(I13,[1]BALLNAME289_head!$B$6:$AA$6,0),0),IFERROR(MATCH(I13,[1]BALLNAME289_head!$B$7:$S$7,0),0),IFERROR(MATCH(I13,[1]BALLNAME289_head!$B$8:$T$8,0),0),IFERROR(MATCH(I13,[1]BALLNAME289_head!$B$9:$T$9,0),0),IFERROR(MATCH(I13,[1]BALLNAME289_head!$B$10:$AC$10,0),0),IFERROR(MATCH(I13,[1]BALLNAME289_head!$B$11:$AC$11,0),0),IFERROR(MATCH(I13,[1]BALLNAME289_head!$B$12:$AC$12,0),0),IFERROR(MATCH(I13,[1]BALLNAME289_head!$B$13:$V$13,0),0),IFERROR(MATCH(I13,[1]BALLNAME289_head!$B$14:$AA$14,0),0),IFERROR(MATCH(I13,[1]BALLNAME289_head!$B$15:$AA$15,0),0),IFERROR(MATCH(I13,[1]BALLNAME289_head!#REF!,0),0),IFERROR(MATCH(I13,[1]BALLNAME289_head!#REF!,0),0),IFERROR(MATCH(I13,[1]BALLNAME289_head!#REF!,0),0),IFERROR(MATCH(I13,[1]BALLNAME289_head!$B$19:$AA$19,0),0),IFERROR(MATCH(I13,[1]BALLNAME289_head!$B$20:$AA$20,0),0),IFERROR(MATCH(I13,[1]BALLNAME289_head!$B$21:$Z$21,0),0),IFERROR(MATCH(I13,[1]BALLNAME289_head!$B$22:$J$22,0),0),IFERROR(MATCH(I13,[1]BALLNAME289_head!$B$23:$Z$23,0),0))</f>
        <v>0</v>
      </c>
      <c r="C13" s="4" t="str">
        <f ca="1">OFFSET([1]BALLNAME289_head!$A$2,[1]PINMUX!CM13-1,0)&amp;OFFSET([1]BALLNAME289_head!$B$1,0,[1]PINMUX!CN13-1)</f>
        <v/>
      </c>
      <c r="D13" s="4">
        <f>MAX(IFERROR(MATCH(I13,[1]BALLNAME289!$B$2:$B$60,0),0),IFERROR(MATCH(I13,[1]BALLNAME289!$C$2:$C$60,0),0),IFERROR(MATCH(I13,[1]BALLNAME289!$D$2:$D$60,0),0),IFERROR(MATCH(I13,[1]BALLNAME289!$E$2:$E$60,0),0),IFERROR(MATCH(I13,[1]BALLNAME289!$F$2:$F$60,0),0),IFERROR(MATCH(I13,[1]BALLNAME289!$G$2:$G$60,0),0),IFERROR(MATCH(I13,[1]BALLNAME289!$H$2:$H$60,0),0),IFERROR(MATCH(I13,[1]BALLNAME289!$I$2:$I$60,0),0),IFERROR(MATCH(I13,[1]BALLNAME289!$J$2:$J$60,0),0),IFERROR(MATCH(I13,[1]BALLNAME289!$K$2:$K$60,0),0),IFERROR(MATCH(I13,[1]BALLNAME289!$L$2:$L$60,0),0),IFERROR(MATCH(I13,[1]BALLNAME289!$M$2:$M$60,0),0),IFERROR(MATCH(I13,[1]BALLNAME289!$N$2:$N$60,0),0),IFERROR(MATCH(I13,[1]BALLNAME289!$O$2:$O$60,0),0),IFERROR(MATCH(I13,[1]BALLNAME289!$P$2:$P$60,0),0),IFERROR(MATCH(I13,[1]BALLNAME289!$Q$2:$Q$60,0),0),IFERROR(MATCH(I13,[1]BALLNAME289!$R$2:$R$60,0),0),IFERROR(MATCH(I13,[1]BALLNAME289!$S$2:$S$60,0),0),IFERROR(MATCH(I13,[1]BALLNAME289!$T$2:$T$60,0),0),IFERROR(MATCH(I13,[1]BALLNAME289!$U$2:$U$60,0),0),IFERROR(MATCH(I13,[1]BALLNAME289!$V$2:$V$60,0),0),IFERROR(MATCH(I13,[1]BALLNAME289!$W$2:$W$60,0),0),IFERROR(MATCH(I13,[1]BALLNAME289!$X$2:$X$60,0),0),IFERROR(MATCH(I13,[1]BALLNAME289!$Y$2:$Y$60,0),0),IFERROR(MATCH(I13,[1]BALLNAME289!$Z$2:$Z$60,0),0),IFERROR(MATCH(I13,[1]BALLNAME289!$AA$2:$AA$60,0),0),IFERROR(MATCH(I13,[1]BALLNAME289!$AB$2:$AB$60,0),0),IFERROR(MATCH(I13,[1]BALLNAME289!$AC$2:$AC$60,0),0),IFERROR(MATCH(I13,[1]BALLNAME289!$AD$2:$AD$60,0),0),IFERROR(MATCH(I13,[1]BALLNAME289!$AE$2:$AE$60,0),0),IFERROR(MATCH(I13,[1]BALLNAME289!$AF$2:$AF$60,0),0),IFERROR(MATCH(I13,[1]BALLNAME289!$AG$2:$AG$60,0),0),IFERROR(MATCH(I13,[1]BALLNAME289!$AH$2:$AH$60,0),0),IFERROR(MATCH(I13,[1]BALLNAME289!$AI$2:$AI$60,0),0),IFERROR(MATCH(I13,[1]BALLNAME289!$AJ$2:$AJ$60,0),0),IFERROR(MATCH(I13,[1]BALLNAME289!$AK$2:$AK$60,0),0),IFERROR(MATCH(I13,[1]BALLNAME289!$AL$2:$AL$60,0),0),IFERROR(MATCH(I13,[1]BALLNAME289!$AM$2:$AM$60,0),0),IFERROR(MATCH(I13,[1]BALLNAME289!$AN$2:$AN$60,0),0),IFERROR(MATCH(I13,[1]BALLNAME289!$AO$2:$AO$60,0),0),IFERROR(MATCH(I13,[1]BALLNAME289!$AP$2:$AP$60,0),0),IFERROR(MATCH(I13,[1]BALLNAME289!$AQ$2:$AQ$60,0),0),IFERROR(MATCH(I13,[1]BALLNAME289!$AR$2:$AR$60,0),0),IFERROR(MATCH(I13,[1]BALLNAME289!$AS$2:$AS$60,0),0),IFERROR(MATCH(I13,[1]BALLNAME289!$AT$2:$AT$60,0),0),IFERROR(MATCH(I13,[1]BALLNAME289!$AU$2:$AU$60,0),0),IFERROR(MATCH(I13,[1]BALLNAME289!$AV$2:$AV$60,0),0),IFERROR(MATCH(I13,[1]BALLNAME289!$AW$2:$AW$60,0),0),IFERROR(MATCH(I13,[1]BALLNAME289!$AX$2:$AX$60,0),0),IFERROR(MATCH(I13,[1]BALLNAME289!$AY$2:$AY$60,0),0),IFERROR(MATCH(I13,[1]BALLNAME289!$AZ$2:$AZ$60,0),0))</f>
        <v>33</v>
      </c>
      <c r="E13" s="4">
        <f>MAX(IFERROR(MATCH(I13,[1]BALLNAME289!$B$2:$AZ$2,0),0),IFERROR(MATCH(I13,[1]BALLNAME289!$B$3:$AZ$3,0),0),IFERROR(MATCH(I13,[1]BALLNAME289!$B$4:$AZ$4,0),0),IFERROR(MATCH(I13,[1]BALLNAME289!$B$5:$AZ$5,0),0),IFERROR(MATCH(I13,[1]BALLNAME289!$B$6:$AZ$6,0),0),IFERROR(MATCH(I13,[1]BALLNAME289!$B$7:$AZ$7,0),0),IFERROR(MATCH(I13,[1]BALLNAME289!$B$8:$AZ$8,0),0),IFERROR(MATCH(I13,[1]BALLNAME289!$B$9:$AZ$9,0),0),IFERROR(MATCH(I13,[1]BALLNAME289!$B$10:$AZ$10,0),0),IFERROR(MATCH(I13,[1]BALLNAME289!$B$11:$AZ$11,0),0),IFERROR(MATCH(I13,[1]BALLNAME289!$B$12:$AZ$12,0),0),IFERROR(MATCH(I13,[1]BALLNAME289!$B$13:$AZ$13,0),0),IFERROR(MATCH(I13,[1]BALLNAME289!$B$14:$AZ$14,0),0),IFERROR(MATCH(I13,[1]BALLNAME289!$B$15:$AZ$15,0),0),IFERROR(MATCH(I13,[1]BALLNAME289!$B$16:$AZ$16,0),0),IFERROR(MATCH(I13,[1]BALLNAME289!$B$17:$AZ$17,0),0),IFERROR(MATCH(I13,[1]BALLNAME289!$B$18:$AZ$18,0),0),IFERROR(MATCH(I13,[1]BALLNAME289!$B$19:$AZ$19,0),0),IFERROR(MATCH(I13,[1]BALLNAME289!$B$20:$AZ$20,0),0),IFERROR(MATCH(I13,[1]BALLNAME289!$B$21:$AZ$21,0),0),IFERROR(MATCH(I13,[1]BALLNAME289!$B$22:$AZ$22,0),0),IFERROR(MATCH(I13,[1]BALLNAME289!$B$23:$AZ$23,0),0),IFERROR(MATCH(I13,[1]BALLNAME289!$B$24:$AZ$24,0),0),IFERROR(MATCH(I13,[1]BALLNAME289!$B$25:$AZ$25,0),0),IFERROR(MATCH(I13,[1]BALLNAME289!$B$26:$AZ$26,0),0),IFERROR(MATCH(I13,[1]BALLNAME289!$B$27:$AZ$27,0),0),IFERROR(MATCH(I13,[1]BALLNAME289!$B$28:$AZ$28,0),0),IFERROR(MATCH(I13,[1]BALLNAME289!$B$29:$AZ$29,0),0),IFERROR(MATCH(I13,[1]BALLNAME289!$B$30:$AZ$30,0),0),IFERROR(MATCH(I13,[1]BALLNAME289!$B$31:$AZ$31,0),0),IFERROR(MATCH(I13,[1]BALLNAME289!$B$32:$AZ$32,0),0),IFERROR(MATCH(I13,[1]BALLNAME289!$B$33:$AZ$33,0),0),IFERROR(MATCH(I13,[1]BALLNAME289!$B$34:$AZ$34,0),0),IFERROR(MATCH(I13,[1]BALLNAME289!$B$35:$AZ$35,0),0),IFERROR(MATCH(I13,[1]BALLNAME289!$B$36:$AZ$36,0),0),IFERROR(MATCH(I13,[1]BALLNAME289!$B$37:$AZ$37,0),0),IFERROR(MATCH(I13,[1]BALLNAME289!$B$38:$AZ$38,0),0),IFERROR(MATCH(I13,[1]BALLNAME289!$B$39:$AZ$39,0),0),IFERROR(MATCH(I13,[1]BALLNAME289!$B$40:$AZ$40,0),0),IFERROR(MATCH(I13,[1]BALLNAME289!$B$41:$AZ$41,0),0),IFERROR(MATCH(I13,[1]BALLNAME289!$B$42:$AZ$42,0),0),IFERROR(MATCH(I13,[1]BALLNAME289!$B$43:$AZ$43,0),0),IFERROR(MATCH(I13,[1]BALLNAME289!$B$44:$AZ$44,0),0),IFERROR(MATCH(I13,[1]BALLNAME289!$B$45:$AZ$45,0),0),IFERROR(MATCH(I13,[1]BALLNAME289!$B$46:$AZ$46,0),0),IFERROR(MATCH(I13,[1]BALLNAME289!$B$47:$AZ$47,0),0),IFERROR(MATCH(I13,[1]BALLNAME289!$B$48:$AZ$48,0),0),IFERROR(MATCH(I13,[1]BALLNAME289!$B$49:$AZ$49,0),0),IFERROR(MATCH(I13,[1]BALLNAME289!$B$50:$AZ$50,0),0),IFERROR(MATCH(I13,[1]BALLNAME289!$B$51:$AZ$51,0),0),IFERROR(MATCH(I13,[1]BALLNAME289!$B$52:$AZ$52,0),0),IFERROR(MATCH(I13,[1]BALLNAME289!$B$53:$AZ$53,0),0),IFERROR(MATCH(I13,[1]BALLNAME289!$B$54:$AZ$54,0),0),IFERROR(MATCH(I13,[1]BALLNAME289!$B$55:$AZ$55,0),0),IFERROR(MATCH(I13,[1]BALLNAME289!$B$56:$AZ$56,0),0),IFERROR(MATCH(I13,[1]BALLNAME289!$B$57:$AZ$57,0),0),IFERROR(MATCH(I13,[1]BALLNAME289!$B$58:$AZ$58,0),0),IFERROR(MATCH(I13,[1]BALLNAME289!$B$59:$AZ$59,0),0),IFERROR(MATCH(I13,[1]BALLNAME289!$B$60:$AZ$60,0),0))</f>
        <v>3</v>
      </c>
      <c r="F13" s="4" t="str">
        <f ca="1">OFFSET([1]BALLNAME144!$A$2,D13-1,0)&amp;OFFSET([1]BALLNAME144!$B$1,0,E13-1)</f>
        <v>3</v>
      </c>
      <c r="G13" s="4">
        <f t="shared" si="0"/>
        <v>34</v>
      </c>
      <c r="H13" s="4">
        <f t="shared" si="0"/>
        <v>4</v>
      </c>
      <c r="I13" s="4" t="s">
        <v>2253</v>
      </c>
      <c r="J13" s="4">
        <v>3</v>
      </c>
      <c r="K13" s="4" t="s">
        <v>2168</v>
      </c>
      <c r="L13" s="4" t="s">
        <v>57</v>
      </c>
      <c r="N13" s="4" t="s">
        <v>2296</v>
      </c>
      <c r="O13" s="4" t="s">
        <v>2277</v>
      </c>
      <c r="P13" s="4" t="s">
        <v>2297</v>
      </c>
      <c r="Q13" s="4" t="s">
        <v>2298</v>
      </c>
      <c r="AZ13" s="4" t="s">
        <v>2245</v>
      </c>
    </row>
    <row r="14" spans="1:52" s="4" customFormat="1" x14ac:dyDescent="0.3">
      <c r="A14" s="4">
        <f>MAX(IFERROR(MATCH(I14,[1]BALLNAME289_head!$B$2:$B$23,0),0),IFERROR(MATCH(I14,[1]BALLNAME289_head!$C$2:$C$22,0),0),IFERROR(MATCH(I14,[1]BALLNAME289_head!$D$2:$D$23,0),0),IFERROR(MATCH(I14,[1]BALLNAME289_head!$E$19:$E$22,0),0),IFERROR(MATCH(I14,[1]BALLNAME289_head!$F$2:$F$21,0),0),IFERROR(MATCH(I14,[1]BALLNAME289_head!$G$2:$G$19,0),0),IFERROR(MATCH(I14,[1]BALLNAME289_head!$H$2:$H$21,0),0),IFERROR(MATCH(I14,[1]BALLNAME289_head!$I$2:$I$19,0),0),IFERROR(MATCH(I14,[1]BALLNAME289_head!$J$2:$J$23,0),0),IFERROR(MATCH(I14,[1]BALLNAME289_head!$K$2:$K$23,0),0),IFERROR(MATCH(I14,[1]BALLNAME289_head!$L$2:$L$22,0),0),IFERROR(MATCH(I14,[1]BALLNAME289_head!$M$2:$M$23,0),0),IFERROR(MATCH(I14,[1]BALLNAME289_head!$N$2:$N$23,0),0),IFERROR(MATCH(I14,[1]BALLNAME289_head!$O$2:$O$19,0),0),IFERROR(MATCH(I14,[1]BALLNAME289_head!#REF!,0),0),IFERROR(MATCH(I14,[1]BALLNAME289_head!$Q$2:$Q$19,0),0),IFERROR(MATCH(I14,[1]BALLNAME289_head!$R$2:$R$19,0),0),IFERROR(MATCH(I14,[1]BALLNAME289_head!$S$2:$S$22,0),0),IFERROR(MATCH(I14,[1]BALLNAME289_head!$T$2:$T$22,0),0),IFERROR(MATCH(I14,[1]BALLNAME289_head!$AA$2:$AA$27,0),0),IFERROR(MATCH(I14,[1]BALLNAME289_head!$AB$2:$AB$27,0),0),IFERROR(MATCH(I14,[1]BALLNAME289_head!$AC$2:$AC$27,0),0))</f>
        <v>0</v>
      </c>
      <c r="B14" s="4">
        <f>MAX(IFERROR(MATCH(I14,[1]BALLNAME289_head!$B$2:$AA$2,0),0),IFERROR(MATCH(I14,[1]BALLNAME289_head!$B$3:$AA$3,0),0),IFERROR(MATCH(I14,[1]BALLNAME289_head!$B$4:$AA$4,0),0),IFERROR(MATCH(I14,[1]BALLNAME289_head!$B$5:$S$5,0),0),IFERROR(MATCH(I14,[1]BALLNAME289_head!$B$6:$AA$6,0),0),IFERROR(MATCH(I14,[1]BALLNAME289_head!$B$7:$S$7,0),0),IFERROR(MATCH(I14,[1]BALLNAME289_head!$B$8:$T$8,0),0),IFERROR(MATCH(I14,[1]BALLNAME289_head!$B$9:$T$9,0),0),IFERROR(MATCH(I14,[1]BALLNAME289_head!$B$10:$AC$10,0),0),IFERROR(MATCH(I14,[1]BALLNAME289_head!$B$11:$AC$11,0),0),IFERROR(MATCH(I14,[1]BALLNAME289_head!$B$12:$AC$12,0),0),IFERROR(MATCH(I14,[1]BALLNAME289_head!$B$13:$V$13,0),0),IFERROR(MATCH(I14,[1]BALLNAME289_head!$B$14:$AA$14,0),0),IFERROR(MATCH(I14,[1]BALLNAME289_head!$B$15:$AA$15,0),0),IFERROR(MATCH(I14,[1]BALLNAME289_head!#REF!,0),0),IFERROR(MATCH(I14,[1]BALLNAME289_head!#REF!,0),0),IFERROR(MATCH(I14,[1]BALLNAME289_head!#REF!,0),0),IFERROR(MATCH(I14,[1]BALLNAME289_head!$B$19:$AA$19,0),0),IFERROR(MATCH(I14,[1]BALLNAME289_head!$B$20:$AA$20,0),0),IFERROR(MATCH(I14,[1]BALLNAME289_head!$B$21:$Z$21,0),0),IFERROR(MATCH(I14,[1]BALLNAME289_head!$B$22:$J$22,0),0),IFERROR(MATCH(I14,[1]BALLNAME289_head!$B$23:$Z$23,0),0))</f>
        <v>0</v>
      </c>
      <c r="C14" s="4" t="str">
        <f ca="1">OFFSET([1]BALLNAME289_head!$A$2,[1]PINMUX!CM14-1,0)&amp;OFFSET([1]BALLNAME289_head!$B$1,0,[1]PINMUX!CN14-1)</f>
        <v/>
      </c>
      <c r="D14" s="4">
        <f>MAX(IFERROR(MATCH(I14,[1]BALLNAME289!$B$2:$B$60,0),0),IFERROR(MATCH(I14,[1]BALLNAME289!$C$2:$C$60,0),0),IFERROR(MATCH(I14,[1]BALLNAME289!$D$2:$D$60,0),0),IFERROR(MATCH(I14,[1]BALLNAME289!$E$2:$E$60,0),0),IFERROR(MATCH(I14,[1]BALLNAME289!$F$2:$F$60,0),0),IFERROR(MATCH(I14,[1]BALLNAME289!$G$2:$G$60,0),0),IFERROR(MATCH(I14,[1]BALLNAME289!$H$2:$H$60,0),0),IFERROR(MATCH(I14,[1]BALLNAME289!$I$2:$I$60,0),0),IFERROR(MATCH(I14,[1]BALLNAME289!$J$2:$J$60,0),0),IFERROR(MATCH(I14,[1]BALLNAME289!$K$2:$K$60,0),0),IFERROR(MATCH(I14,[1]BALLNAME289!$L$2:$L$60,0),0),IFERROR(MATCH(I14,[1]BALLNAME289!$M$2:$M$60,0),0),IFERROR(MATCH(I14,[1]BALLNAME289!$N$2:$N$60,0),0),IFERROR(MATCH(I14,[1]BALLNAME289!$O$2:$O$60,0),0),IFERROR(MATCH(I14,[1]BALLNAME289!$P$2:$P$60,0),0),IFERROR(MATCH(I14,[1]BALLNAME289!$Q$2:$Q$60,0),0),IFERROR(MATCH(I14,[1]BALLNAME289!$R$2:$R$60,0),0),IFERROR(MATCH(I14,[1]BALLNAME289!$S$2:$S$60,0),0),IFERROR(MATCH(I14,[1]BALLNAME289!$T$2:$T$60,0),0),IFERROR(MATCH(I14,[1]BALLNAME289!$U$2:$U$60,0),0),IFERROR(MATCH(I14,[1]BALLNAME289!$V$2:$V$60,0),0),IFERROR(MATCH(I14,[1]BALLNAME289!$W$2:$W$60,0),0),IFERROR(MATCH(I14,[1]BALLNAME289!$X$2:$X$60,0),0),IFERROR(MATCH(I14,[1]BALLNAME289!$Y$2:$Y$60,0),0),IFERROR(MATCH(I14,[1]BALLNAME289!$Z$2:$Z$60,0),0),IFERROR(MATCH(I14,[1]BALLNAME289!$AA$2:$AA$60,0),0),IFERROR(MATCH(I14,[1]BALLNAME289!$AB$2:$AB$60,0),0),IFERROR(MATCH(I14,[1]BALLNAME289!$AC$2:$AC$60,0),0),IFERROR(MATCH(I14,[1]BALLNAME289!$AD$2:$AD$60,0),0),IFERROR(MATCH(I14,[1]BALLNAME289!$AE$2:$AE$60,0),0),IFERROR(MATCH(I14,[1]BALLNAME289!$AF$2:$AF$60,0),0),IFERROR(MATCH(I14,[1]BALLNAME289!$AG$2:$AG$60,0),0),IFERROR(MATCH(I14,[1]BALLNAME289!$AH$2:$AH$60,0),0),IFERROR(MATCH(I14,[1]BALLNAME289!$AI$2:$AI$60,0),0),IFERROR(MATCH(I14,[1]BALLNAME289!$AJ$2:$AJ$60,0),0),IFERROR(MATCH(I14,[1]BALLNAME289!$AK$2:$AK$60,0),0),IFERROR(MATCH(I14,[1]BALLNAME289!$AL$2:$AL$60,0),0),IFERROR(MATCH(I14,[1]BALLNAME289!$AM$2:$AM$60,0),0),IFERROR(MATCH(I14,[1]BALLNAME289!$AN$2:$AN$60,0),0),IFERROR(MATCH(I14,[1]BALLNAME289!$AO$2:$AO$60,0),0),IFERROR(MATCH(I14,[1]BALLNAME289!$AP$2:$AP$60,0),0),IFERROR(MATCH(I14,[1]BALLNAME289!$AQ$2:$AQ$60,0),0),IFERROR(MATCH(I14,[1]BALLNAME289!$AR$2:$AR$60,0),0),IFERROR(MATCH(I14,[1]BALLNAME289!$AS$2:$AS$60,0),0),IFERROR(MATCH(I14,[1]BALLNAME289!$AT$2:$AT$60,0),0),IFERROR(MATCH(I14,[1]BALLNAME289!$AU$2:$AU$60,0),0),IFERROR(MATCH(I14,[1]BALLNAME289!$AV$2:$AV$60,0),0),IFERROR(MATCH(I14,[1]BALLNAME289!$AW$2:$AW$60,0),0),IFERROR(MATCH(I14,[1]BALLNAME289!$AX$2:$AX$60,0),0),IFERROR(MATCH(I14,[1]BALLNAME289!$AY$2:$AY$60,0),0),IFERROR(MATCH(I14,[1]BALLNAME289!$AZ$2:$AZ$60,0),0))</f>
        <v>32</v>
      </c>
      <c r="E14" s="4">
        <f>MAX(IFERROR(MATCH(I14,[1]BALLNAME289!$B$2:$AZ$2,0),0),IFERROR(MATCH(I14,[1]BALLNAME289!$B$3:$AZ$3,0),0),IFERROR(MATCH(I14,[1]BALLNAME289!$B$4:$AZ$4,0),0),IFERROR(MATCH(I14,[1]BALLNAME289!$B$5:$AZ$5,0),0),IFERROR(MATCH(I14,[1]BALLNAME289!$B$6:$AZ$6,0),0),IFERROR(MATCH(I14,[1]BALLNAME289!$B$7:$AZ$7,0),0),IFERROR(MATCH(I14,[1]BALLNAME289!$B$8:$AZ$8,0),0),IFERROR(MATCH(I14,[1]BALLNAME289!$B$9:$AZ$9,0),0),IFERROR(MATCH(I14,[1]BALLNAME289!$B$10:$AZ$10,0),0),IFERROR(MATCH(I14,[1]BALLNAME289!$B$11:$AZ$11,0),0),IFERROR(MATCH(I14,[1]BALLNAME289!$B$12:$AZ$12,0),0),IFERROR(MATCH(I14,[1]BALLNAME289!$B$13:$AZ$13,0),0),IFERROR(MATCH(I14,[1]BALLNAME289!$B$14:$AZ$14,0),0),IFERROR(MATCH(I14,[1]BALLNAME289!$B$15:$AZ$15,0),0),IFERROR(MATCH(I14,[1]BALLNAME289!$B$16:$AZ$16,0),0),IFERROR(MATCH(I14,[1]BALLNAME289!$B$17:$AZ$17,0),0),IFERROR(MATCH(I14,[1]BALLNAME289!$B$18:$AZ$18,0),0),IFERROR(MATCH(I14,[1]BALLNAME289!$B$19:$AZ$19,0),0),IFERROR(MATCH(I14,[1]BALLNAME289!$B$20:$AZ$20,0),0),IFERROR(MATCH(I14,[1]BALLNAME289!$B$21:$AZ$21,0),0),IFERROR(MATCH(I14,[1]BALLNAME289!$B$22:$AZ$22,0),0),IFERROR(MATCH(I14,[1]BALLNAME289!$B$23:$AZ$23,0),0),IFERROR(MATCH(I14,[1]BALLNAME289!$B$24:$AZ$24,0),0),IFERROR(MATCH(I14,[1]BALLNAME289!$B$25:$AZ$25,0),0),IFERROR(MATCH(I14,[1]BALLNAME289!$B$26:$AZ$26,0),0),IFERROR(MATCH(I14,[1]BALLNAME289!$B$27:$AZ$27,0),0),IFERROR(MATCH(I14,[1]BALLNAME289!$B$28:$AZ$28,0),0),IFERROR(MATCH(I14,[1]BALLNAME289!$B$29:$AZ$29,0),0),IFERROR(MATCH(I14,[1]BALLNAME289!$B$30:$AZ$30,0),0),IFERROR(MATCH(I14,[1]BALLNAME289!$B$31:$AZ$31,0),0),IFERROR(MATCH(I14,[1]BALLNAME289!$B$32:$AZ$32,0),0),IFERROR(MATCH(I14,[1]BALLNAME289!$B$33:$AZ$33,0),0),IFERROR(MATCH(I14,[1]BALLNAME289!$B$34:$AZ$34,0),0),IFERROR(MATCH(I14,[1]BALLNAME289!$B$35:$AZ$35,0),0),IFERROR(MATCH(I14,[1]BALLNAME289!$B$36:$AZ$36,0),0),IFERROR(MATCH(I14,[1]BALLNAME289!$B$37:$AZ$37,0),0),IFERROR(MATCH(I14,[1]BALLNAME289!$B$38:$AZ$38,0),0),IFERROR(MATCH(I14,[1]BALLNAME289!$B$39:$AZ$39,0),0),IFERROR(MATCH(I14,[1]BALLNAME289!$B$40:$AZ$40,0),0),IFERROR(MATCH(I14,[1]BALLNAME289!$B$41:$AZ$41,0),0),IFERROR(MATCH(I14,[1]BALLNAME289!$B$42:$AZ$42,0),0),IFERROR(MATCH(I14,[1]BALLNAME289!$B$43:$AZ$43,0),0),IFERROR(MATCH(I14,[1]BALLNAME289!$B$44:$AZ$44,0),0),IFERROR(MATCH(I14,[1]BALLNAME289!$B$45:$AZ$45,0),0),IFERROR(MATCH(I14,[1]BALLNAME289!$B$46:$AZ$46,0),0),IFERROR(MATCH(I14,[1]BALLNAME289!$B$47:$AZ$47,0),0),IFERROR(MATCH(I14,[1]BALLNAME289!$B$48:$AZ$48,0),0),IFERROR(MATCH(I14,[1]BALLNAME289!$B$49:$AZ$49,0),0),IFERROR(MATCH(I14,[1]BALLNAME289!$B$50:$AZ$50,0),0),IFERROR(MATCH(I14,[1]BALLNAME289!$B$51:$AZ$51,0),0),IFERROR(MATCH(I14,[1]BALLNAME289!$B$52:$AZ$52,0),0),IFERROR(MATCH(I14,[1]BALLNAME289!$B$53:$AZ$53,0),0),IFERROR(MATCH(I14,[1]BALLNAME289!$B$54:$AZ$54,0),0),IFERROR(MATCH(I14,[1]BALLNAME289!$B$55:$AZ$55,0),0),IFERROR(MATCH(I14,[1]BALLNAME289!$B$56:$AZ$56,0),0),IFERROR(MATCH(I14,[1]BALLNAME289!$B$57:$AZ$57,0),0),IFERROR(MATCH(I14,[1]BALLNAME289!$B$58:$AZ$58,0),0),IFERROR(MATCH(I14,[1]BALLNAME289!$B$59:$AZ$59,0),0),IFERROR(MATCH(I14,[1]BALLNAME289!$B$60:$AZ$60,0),0))</f>
        <v>3</v>
      </c>
      <c r="F14" s="4" t="str">
        <f ca="1">OFFSET([1]BALLNAME144!$A$2,D14-1,0)&amp;OFFSET([1]BALLNAME144!$B$1,0,E14-1)</f>
        <v>3</v>
      </c>
      <c r="G14" s="4">
        <f t="shared" si="0"/>
        <v>33</v>
      </c>
      <c r="H14" s="4">
        <f t="shared" si="0"/>
        <v>4</v>
      </c>
      <c r="I14" s="4" t="s">
        <v>2254</v>
      </c>
      <c r="J14" s="4">
        <v>3</v>
      </c>
      <c r="K14" s="4" t="s">
        <v>2168</v>
      </c>
      <c r="L14" s="4" t="s">
        <v>57</v>
      </c>
      <c r="N14" s="4" t="s">
        <v>2299</v>
      </c>
      <c r="O14" s="4" t="s">
        <v>2277</v>
      </c>
      <c r="P14" s="4" t="s">
        <v>2300</v>
      </c>
      <c r="Q14" s="4" t="s">
        <v>2301</v>
      </c>
      <c r="AZ14" s="4" t="s">
        <v>2245</v>
      </c>
    </row>
    <row r="15" spans="1:52" x14ac:dyDescent="0.3">
      <c r="A15" s="4">
        <f>MAX(IFERROR(MATCH(I15,[1]BALLNAME289_head!$B$2:$B$23,0),0),IFERROR(MATCH(I15,[1]BALLNAME289_head!$C$2:$C$22,0),0),IFERROR(MATCH(I15,[1]BALLNAME289_head!$D$2:$D$23,0),0),IFERROR(MATCH(I15,[1]BALLNAME289_head!$E$19:$E$22,0),0),IFERROR(MATCH(I15,[1]BALLNAME289_head!$F$2:$F$21,0),0),IFERROR(MATCH(I15,[1]BALLNAME289_head!$G$2:$G$19,0),0),IFERROR(MATCH(I15,[1]BALLNAME289_head!$H$2:$H$21,0),0),IFERROR(MATCH(I15,[1]BALLNAME289_head!$I$2:$I$19,0),0),IFERROR(MATCH(I15,[1]BALLNAME289_head!$J$2:$J$23,0),0),IFERROR(MATCH(I15,[1]BALLNAME289_head!$K$2:$K$23,0),0),IFERROR(MATCH(I15,[1]BALLNAME289_head!$L$2:$L$22,0),0),IFERROR(MATCH(I15,[1]BALLNAME289_head!$M$2:$M$23,0),0),IFERROR(MATCH(I15,[1]BALLNAME289_head!$N$2:$N$23,0),0),IFERROR(MATCH(I15,[1]BALLNAME289_head!$O$2:$O$19,0),0),IFERROR(MATCH(I15,[1]BALLNAME289_head!#REF!,0),0),IFERROR(MATCH(I15,[1]BALLNAME289_head!$Q$2:$Q$19,0),0),IFERROR(MATCH(I15,[1]BALLNAME289_head!$R$2:$R$19,0),0),IFERROR(MATCH(I15,[1]BALLNAME289_head!$S$2:$S$22,0),0),IFERROR(MATCH(I15,[1]BALLNAME289_head!$T$2:$T$22,0),0),IFERROR(MATCH(I15,[1]BALLNAME289_head!$AA$2:$AA$27,0),0),IFERROR(MATCH(I15,[1]BALLNAME289_head!$AB$2:$AB$27,0),0),IFERROR(MATCH(I15,[1]BALLNAME289_head!$AC$2:$AC$27,0),0))</f>
        <v>0</v>
      </c>
      <c r="B15" s="4">
        <f>MAX(IFERROR(MATCH(I15,[1]BALLNAME289_head!$B$2:$AA$2,0),0),IFERROR(MATCH(I15,[1]BALLNAME289_head!$B$3:$AA$3,0),0),IFERROR(MATCH(I15,[1]BALLNAME289_head!$B$4:$AA$4,0),0),IFERROR(MATCH(I15,[1]BALLNAME289_head!$B$5:$S$5,0),0),IFERROR(MATCH(I15,[1]BALLNAME289_head!$B$6:$AA$6,0),0),IFERROR(MATCH(I15,[1]BALLNAME289_head!$B$7:$S$7,0),0),IFERROR(MATCH(I15,[1]BALLNAME289_head!$B$8:$T$8,0),0),IFERROR(MATCH(I15,[1]BALLNAME289_head!$B$9:$T$9,0),0),IFERROR(MATCH(I15,[1]BALLNAME289_head!$B$10:$AC$10,0),0),IFERROR(MATCH(I15,[1]BALLNAME289_head!$B$11:$AC$11,0),0),IFERROR(MATCH(I15,[1]BALLNAME289_head!$B$12:$AC$12,0),0),IFERROR(MATCH(I15,[1]BALLNAME289_head!$B$13:$V$13,0),0),IFERROR(MATCH(I15,[1]BALLNAME289_head!$B$14:$AA$14,0),0),IFERROR(MATCH(I15,[1]BALLNAME289_head!$B$15:$AA$15,0),0),IFERROR(MATCH(I15,[1]BALLNAME289_head!#REF!,0),0),IFERROR(MATCH(I15,[1]BALLNAME289_head!#REF!,0),0),IFERROR(MATCH(I15,[1]BALLNAME289_head!#REF!,0),0),IFERROR(MATCH(I15,[1]BALLNAME289_head!$B$19:$AA$19,0),0),IFERROR(MATCH(I15,[1]BALLNAME289_head!$B$20:$AA$20,0),0),IFERROR(MATCH(I15,[1]BALLNAME289_head!$B$21:$Z$21,0),0),IFERROR(MATCH(I15,[1]BALLNAME289_head!$B$22:$J$22,0),0),IFERROR(MATCH(I15,[1]BALLNAME289_head!$B$23:$Z$23,0),0))</f>
        <v>0</v>
      </c>
      <c r="C15" s="4" t="str">
        <f ca="1">OFFSET([1]BALLNAME289_head!$A$2,[1]PINMUX!CM15-1,0)&amp;OFFSET([1]BALLNAME289_head!$B$1,0,[1]PINMUX!CN15-1)</f>
        <v/>
      </c>
      <c r="D15" s="4">
        <f>MAX(IFERROR(MATCH(I15,[1]BALLNAME289!$B$2:$B$60,0),0),IFERROR(MATCH(I15,[1]BALLNAME289!$C$2:$C$60,0),0),IFERROR(MATCH(I15,[1]BALLNAME289!$D$2:$D$60,0),0),IFERROR(MATCH(I15,[1]BALLNAME289!$E$2:$E$60,0),0),IFERROR(MATCH(I15,[1]BALLNAME289!$F$2:$F$60,0),0),IFERROR(MATCH(I15,[1]BALLNAME289!$G$2:$G$60,0),0),IFERROR(MATCH(I15,[1]BALLNAME289!$H$2:$H$60,0),0),IFERROR(MATCH(I15,[1]BALLNAME289!$I$2:$I$60,0),0),IFERROR(MATCH(I15,[1]BALLNAME289!$J$2:$J$60,0),0),IFERROR(MATCH(I15,[1]BALLNAME289!$K$2:$K$60,0),0),IFERROR(MATCH(I15,[1]BALLNAME289!$L$2:$L$60,0),0),IFERROR(MATCH(I15,[1]BALLNAME289!$M$2:$M$60,0),0),IFERROR(MATCH(I15,[1]BALLNAME289!$N$2:$N$60,0),0),IFERROR(MATCH(I15,[1]BALLNAME289!$O$2:$O$60,0),0),IFERROR(MATCH(I15,[1]BALLNAME289!$P$2:$P$60,0),0),IFERROR(MATCH(I15,[1]BALLNAME289!$Q$2:$Q$60,0),0),IFERROR(MATCH(I15,[1]BALLNAME289!$R$2:$R$60,0),0),IFERROR(MATCH(I15,[1]BALLNAME289!$S$2:$S$60,0),0),IFERROR(MATCH(I15,[1]BALLNAME289!$T$2:$T$60,0),0),IFERROR(MATCH(I15,[1]BALLNAME289!$U$2:$U$60,0),0),IFERROR(MATCH(I15,[1]BALLNAME289!$V$2:$V$60,0),0),IFERROR(MATCH(I15,[1]BALLNAME289!$W$2:$W$60,0),0),IFERROR(MATCH(I15,[1]BALLNAME289!$X$2:$X$60,0),0),IFERROR(MATCH(I15,[1]BALLNAME289!$Y$2:$Y$60,0),0),IFERROR(MATCH(I15,[1]BALLNAME289!$Z$2:$Z$60,0),0),IFERROR(MATCH(I15,[1]BALLNAME289!$AA$2:$AA$60,0),0),IFERROR(MATCH(I15,[1]BALLNAME289!$AB$2:$AB$60,0),0),IFERROR(MATCH(I15,[1]BALLNAME289!$AC$2:$AC$60,0),0),IFERROR(MATCH(I15,[1]BALLNAME289!$AD$2:$AD$60,0),0),IFERROR(MATCH(I15,[1]BALLNAME289!$AE$2:$AE$60,0),0),IFERROR(MATCH(I15,[1]BALLNAME289!$AF$2:$AF$60,0),0),IFERROR(MATCH(I15,[1]BALLNAME289!$AG$2:$AG$60,0),0),IFERROR(MATCH(I15,[1]BALLNAME289!$AH$2:$AH$60,0),0),IFERROR(MATCH(I15,[1]BALLNAME289!$AI$2:$AI$60,0),0),IFERROR(MATCH(I15,[1]BALLNAME289!$AJ$2:$AJ$60,0),0),IFERROR(MATCH(I15,[1]BALLNAME289!$AK$2:$AK$60,0),0),IFERROR(MATCH(I15,[1]BALLNAME289!$AL$2:$AL$60,0),0),IFERROR(MATCH(I15,[1]BALLNAME289!$AM$2:$AM$60,0),0),IFERROR(MATCH(I15,[1]BALLNAME289!$AN$2:$AN$60,0),0),IFERROR(MATCH(I15,[1]BALLNAME289!$AO$2:$AO$60,0),0),IFERROR(MATCH(I15,[1]BALLNAME289!$AP$2:$AP$60,0),0),IFERROR(MATCH(I15,[1]BALLNAME289!$AQ$2:$AQ$60,0),0),IFERROR(MATCH(I15,[1]BALLNAME289!$AR$2:$AR$60,0),0),IFERROR(MATCH(I15,[1]BALLNAME289!$AS$2:$AS$60,0),0),IFERROR(MATCH(I15,[1]BALLNAME289!$AT$2:$AT$60,0),0),IFERROR(MATCH(I15,[1]BALLNAME289!$AU$2:$AU$60,0),0),IFERROR(MATCH(I15,[1]BALLNAME289!$AV$2:$AV$60,0),0),IFERROR(MATCH(I15,[1]BALLNAME289!$AW$2:$AW$60,0),0),IFERROR(MATCH(I15,[1]BALLNAME289!$AX$2:$AX$60,0),0),IFERROR(MATCH(I15,[1]BALLNAME289!$AY$2:$AY$60,0),0),IFERROR(MATCH(I15,[1]BALLNAME289!$AZ$2:$AZ$60,0),0))</f>
        <v>33</v>
      </c>
      <c r="E15" s="4">
        <f>MAX(IFERROR(MATCH(I15,[1]BALLNAME289!$B$2:$AZ$2,0),0),IFERROR(MATCH(I15,[1]BALLNAME289!$B$3:$AZ$3,0),0),IFERROR(MATCH(I15,[1]BALLNAME289!$B$4:$AZ$4,0),0),IFERROR(MATCH(I15,[1]BALLNAME289!$B$5:$AZ$5,0),0),IFERROR(MATCH(I15,[1]BALLNAME289!$B$6:$AZ$6,0),0),IFERROR(MATCH(I15,[1]BALLNAME289!$B$7:$AZ$7,0),0),IFERROR(MATCH(I15,[1]BALLNAME289!$B$8:$AZ$8,0),0),IFERROR(MATCH(I15,[1]BALLNAME289!$B$9:$AZ$9,0),0),IFERROR(MATCH(I15,[1]BALLNAME289!$B$10:$AZ$10,0),0),IFERROR(MATCH(I15,[1]BALLNAME289!$B$11:$AZ$11,0),0),IFERROR(MATCH(I15,[1]BALLNAME289!$B$12:$AZ$12,0),0),IFERROR(MATCH(I15,[1]BALLNAME289!$B$13:$AZ$13,0),0),IFERROR(MATCH(I15,[1]BALLNAME289!$B$14:$AZ$14,0),0),IFERROR(MATCH(I15,[1]BALLNAME289!$B$15:$AZ$15,0),0),IFERROR(MATCH(I15,[1]BALLNAME289!$B$16:$AZ$16,0),0),IFERROR(MATCH(I15,[1]BALLNAME289!$B$17:$AZ$17,0),0),IFERROR(MATCH(I15,[1]BALLNAME289!$B$18:$AZ$18,0),0),IFERROR(MATCH(I15,[1]BALLNAME289!$B$19:$AZ$19,0),0),IFERROR(MATCH(I15,[1]BALLNAME289!$B$20:$AZ$20,0),0),IFERROR(MATCH(I15,[1]BALLNAME289!$B$21:$AZ$21,0),0),IFERROR(MATCH(I15,[1]BALLNAME289!$B$22:$AZ$22,0),0),IFERROR(MATCH(I15,[1]BALLNAME289!$B$23:$AZ$23,0),0),IFERROR(MATCH(I15,[1]BALLNAME289!$B$24:$AZ$24,0),0),IFERROR(MATCH(I15,[1]BALLNAME289!$B$25:$AZ$25,0),0),IFERROR(MATCH(I15,[1]BALLNAME289!$B$26:$AZ$26,0),0),IFERROR(MATCH(I15,[1]BALLNAME289!$B$27:$AZ$27,0),0),IFERROR(MATCH(I15,[1]BALLNAME289!$B$28:$AZ$28,0),0),IFERROR(MATCH(I15,[1]BALLNAME289!$B$29:$AZ$29,0),0),IFERROR(MATCH(I15,[1]BALLNAME289!$B$30:$AZ$30,0),0),IFERROR(MATCH(I15,[1]BALLNAME289!$B$31:$AZ$31,0),0),IFERROR(MATCH(I15,[1]BALLNAME289!$B$32:$AZ$32,0),0),IFERROR(MATCH(I15,[1]BALLNAME289!$B$33:$AZ$33,0),0),IFERROR(MATCH(I15,[1]BALLNAME289!$B$34:$AZ$34,0),0),IFERROR(MATCH(I15,[1]BALLNAME289!$B$35:$AZ$35,0),0),IFERROR(MATCH(I15,[1]BALLNAME289!$B$36:$AZ$36,0),0),IFERROR(MATCH(I15,[1]BALLNAME289!$B$37:$AZ$37,0),0),IFERROR(MATCH(I15,[1]BALLNAME289!$B$38:$AZ$38,0),0),IFERROR(MATCH(I15,[1]BALLNAME289!$B$39:$AZ$39,0),0),IFERROR(MATCH(I15,[1]BALLNAME289!$B$40:$AZ$40,0),0),IFERROR(MATCH(I15,[1]BALLNAME289!$B$41:$AZ$41,0),0),IFERROR(MATCH(I15,[1]BALLNAME289!$B$42:$AZ$42,0),0),IFERROR(MATCH(I15,[1]BALLNAME289!$B$43:$AZ$43,0),0),IFERROR(MATCH(I15,[1]BALLNAME289!$B$44:$AZ$44,0),0),IFERROR(MATCH(I15,[1]BALLNAME289!$B$45:$AZ$45,0),0),IFERROR(MATCH(I15,[1]BALLNAME289!$B$46:$AZ$46,0),0),IFERROR(MATCH(I15,[1]BALLNAME289!$B$47:$AZ$47,0),0),IFERROR(MATCH(I15,[1]BALLNAME289!$B$48:$AZ$48,0),0),IFERROR(MATCH(I15,[1]BALLNAME289!$B$49:$AZ$49,0),0),IFERROR(MATCH(I15,[1]BALLNAME289!$B$50:$AZ$50,0),0),IFERROR(MATCH(I15,[1]BALLNAME289!$B$51:$AZ$51,0),0),IFERROR(MATCH(I15,[1]BALLNAME289!$B$52:$AZ$52,0),0),IFERROR(MATCH(I15,[1]BALLNAME289!$B$53:$AZ$53,0),0),IFERROR(MATCH(I15,[1]BALLNAME289!$B$54:$AZ$54,0),0),IFERROR(MATCH(I15,[1]BALLNAME289!$B$55:$AZ$55,0),0),IFERROR(MATCH(I15,[1]BALLNAME289!$B$56:$AZ$56,0),0),IFERROR(MATCH(I15,[1]BALLNAME289!$B$57:$AZ$57,0),0),IFERROR(MATCH(I15,[1]BALLNAME289!$B$58:$AZ$58,0),0),IFERROR(MATCH(I15,[1]BALLNAME289!$B$59:$AZ$59,0),0),IFERROR(MATCH(I15,[1]BALLNAME289!$B$60:$AZ$60,0),0))</f>
        <v>2</v>
      </c>
      <c r="F15" s="4" t="str">
        <f ca="1">OFFSET([1]BALLNAME144!$A$2,D15-1,0)&amp;OFFSET([1]BALLNAME144!$B$1,0,E15-1)</f>
        <v>2</v>
      </c>
      <c r="G15" s="4">
        <f t="shared" si="0"/>
        <v>34</v>
      </c>
      <c r="H15" s="4">
        <f t="shared" si="0"/>
        <v>3</v>
      </c>
      <c r="I15" s="4" t="s">
        <v>2255</v>
      </c>
      <c r="J15" s="4">
        <v>2</v>
      </c>
      <c r="K15" s="4" t="s">
        <v>2168</v>
      </c>
      <c r="L15" s="4" t="s">
        <v>57</v>
      </c>
      <c r="M15" s="4"/>
      <c r="N15" s="4" t="s">
        <v>2302</v>
      </c>
      <c r="O15" s="4" t="s">
        <v>2277</v>
      </c>
      <c r="P15" s="4" t="s">
        <v>2277</v>
      </c>
      <c r="Q15" s="4" t="s">
        <v>2303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 t="s">
        <v>2256</v>
      </c>
    </row>
    <row r="16" spans="1:52" x14ac:dyDescent="0.3">
      <c r="A16" s="4">
        <f>MAX(IFERROR(MATCH(I16,[1]BALLNAME289_head!$B$2:$B$23,0),0),IFERROR(MATCH(I16,[1]BALLNAME289_head!$C$2:$C$22,0),0),IFERROR(MATCH(I16,[1]BALLNAME289_head!$D$2:$D$23,0),0),IFERROR(MATCH(I16,[1]BALLNAME289_head!$E$19:$E$22,0),0),IFERROR(MATCH(I16,[1]BALLNAME289_head!$F$2:$F$21,0),0),IFERROR(MATCH(I16,[1]BALLNAME289_head!$G$2:$G$19,0),0),IFERROR(MATCH(I16,[1]BALLNAME289_head!$H$2:$H$21,0),0),IFERROR(MATCH(I16,[1]BALLNAME289_head!$I$2:$I$19,0),0),IFERROR(MATCH(I16,[1]BALLNAME289_head!$J$2:$J$23,0),0),IFERROR(MATCH(I16,[1]BALLNAME289_head!$K$2:$K$23,0),0),IFERROR(MATCH(I16,[1]BALLNAME289_head!$L$2:$L$22,0),0),IFERROR(MATCH(I16,[1]BALLNAME289_head!$M$2:$M$23,0),0),IFERROR(MATCH(I16,[1]BALLNAME289_head!$N$2:$N$23,0),0),IFERROR(MATCH(I16,[1]BALLNAME289_head!$O$2:$O$19,0),0),IFERROR(MATCH(I16,[1]BALLNAME289_head!#REF!,0),0),IFERROR(MATCH(I16,[1]BALLNAME289_head!$Q$2:$Q$19,0),0),IFERROR(MATCH(I16,[1]BALLNAME289_head!$R$2:$R$19,0),0),IFERROR(MATCH(I16,[1]BALLNAME289_head!$S$2:$S$22,0),0),IFERROR(MATCH(I16,[1]BALLNAME289_head!$T$2:$T$22,0),0),IFERROR(MATCH(I16,[1]BALLNAME289_head!$AA$2:$AA$27,0),0),IFERROR(MATCH(I16,[1]BALLNAME289_head!$AB$2:$AB$27,0),0),IFERROR(MATCH(I16,[1]BALLNAME289_head!$AC$2:$AC$27,0),0))</f>
        <v>0</v>
      </c>
      <c r="B16" s="4">
        <f>MAX(IFERROR(MATCH(I16,[1]BALLNAME289_head!$B$2:$AA$2,0),0),IFERROR(MATCH(I16,[1]BALLNAME289_head!$B$3:$AA$3,0),0),IFERROR(MATCH(I16,[1]BALLNAME289_head!$B$4:$AA$4,0),0),IFERROR(MATCH(I16,[1]BALLNAME289_head!$B$5:$S$5,0),0),IFERROR(MATCH(I16,[1]BALLNAME289_head!$B$6:$AA$6,0),0),IFERROR(MATCH(I16,[1]BALLNAME289_head!$B$7:$S$7,0),0),IFERROR(MATCH(I16,[1]BALLNAME289_head!$B$8:$T$8,0),0),IFERROR(MATCH(I16,[1]BALLNAME289_head!$B$9:$T$9,0),0),IFERROR(MATCH(I16,[1]BALLNAME289_head!$B$10:$AC$10,0),0),IFERROR(MATCH(I16,[1]BALLNAME289_head!$B$11:$AC$11,0),0),IFERROR(MATCH(I16,[1]BALLNAME289_head!$B$12:$AC$12,0),0),IFERROR(MATCH(I16,[1]BALLNAME289_head!$B$13:$V$13,0),0),IFERROR(MATCH(I16,[1]BALLNAME289_head!$B$14:$AA$14,0),0),IFERROR(MATCH(I16,[1]BALLNAME289_head!$B$15:$AA$15,0),0),IFERROR(MATCH(I16,[1]BALLNAME289_head!#REF!,0),0),IFERROR(MATCH(I16,[1]BALLNAME289_head!#REF!,0),0),IFERROR(MATCH(I16,[1]BALLNAME289_head!#REF!,0),0),IFERROR(MATCH(I16,[1]BALLNAME289_head!$B$19:$AA$19,0),0),IFERROR(MATCH(I16,[1]BALLNAME289_head!$B$20:$AA$20,0),0),IFERROR(MATCH(I16,[1]BALLNAME289_head!$B$21:$Z$21,0),0),IFERROR(MATCH(I16,[1]BALLNAME289_head!$B$22:$J$22,0),0),IFERROR(MATCH(I16,[1]BALLNAME289_head!$B$23:$Z$23,0),0))</f>
        <v>0</v>
      </c>
      <c r="C16" s="4" t="str">
        <f ca="1">OFFSET([1]BALLNAME289_head!$A$2,[1]PINMUX!CM16-1,0)&amp;OFFSET([1]BALLNAME289_head!$B$1,0,[1]PINMUX!CN16-1)</f>
        <v/>
      </c>
      <c r="D16" s="4">
        <f>MAX(IFERROR(MATCH(I16,[1]BALLNAME289!$B$2:$B$60,0),0),IFERROR(MATCH(I16,[1]BALLNAME289!$C$2:$C$60,0),0),IFERROR(MATCH(I16,[1]BALLNAME289!$D$2:$D$60,0),0),IFERROR(MATCH(I16,[1]BALLNAME289!$E$2:$E$60,0),0),IFERROR(MATCH(I16,[1]BALLNAME289!$F$2:$F$60,0),0),IFERROR(MATCH(I16,[1]BALLNAME289!$G$2:$G$60,0),0),IFERROR(MATCH(I16,[1]BALLNAME289!$H$2:$H$60,0),0),IFERROR(MATCH(I16,[1]BALLNAME289!$I$2:$I$60,0),0),IFERROR(MATCH(I16,[1]BALLNAME289!$J$2:$J$60,0),0),IFERROR(MATCH(I16,[1]BALLNAME289!$K$2:$K$60,0),0),IFERROR(MATCH(I16,[1]BALLNAME289!$L$2:$L$60,0),0),IFERROR(MATCH(I16,[1]BALLNAME289!$M$2:$M$60,0),0),IFERROR(MATCH(I16,[1]BALLNAME289!$N$2:$N$60,0),0),IFERROR(MATCH(I16,[1]BALLNAME289!$O$2:$O$60,0),0),IFERROR(MATCH(I16,[1]BALLNAME289!$P$2:$P$60,0),0),IFERROR(MATCH(I16,[1]BALLNAME289!$Q$2:$Q$60,0),0),IFERROR(MATCH(I16,[1]BALLNAME289!$R$2:$R$60,0),0),IFERROR(MATCH(I16,[1]BALLNAME289!$S$2:$S$60,0),0),IFERROR(MATCH(I16,[1]BALLNAME289!$T$2:$T$60,0),0),IFERROR(MATCH(I16,[1]BALLNAME289!$U$2:$U$60,0),0),IFERROR(MATCH(I16,[1]BALLNAME289!$V$2:$V$60,0),0),IFERROR(MATCH(I16,[1]BALLNAME289!$W$2:$W$60,0),0),IFERROR(MATCH(I16,[1]BALLNAME289!$X$2:$X$60,0),0),IFERROR(MATCH(I16,[1]BALLNAME289!$Y$2:$Y$60,0),0),IFERROR(MATCH(I16,[1]BALLNAME289!$Z$2:$Z$60,0),0),IFERROR(MATCH(I16,[1]BALLNAME289!$AA$2:$AA$60,0),0),IFERROR(MATCH(I16,[1]BALLNAME289!$AB$2:$AB$60,0),0),IFERROR(MATCH(I16,[1]BALLNAME289!$AC$2:$AC$60,0),0),IFERROR(MATCH(I16,[1]BALLNAME289!$AD$2:$AD$60,0),0),IFERROR(MATCH(I16,[1]BALLNAME289!$AE$2:$AE$60,0),0),IFERROR(MATCH(I16,[1]BALLNAME289!$AF$2:$AF$60,0),0),IFERROR(MATCH(I16,[1]BALLNAME289!$AG$2:$AG$60,0),0),IFERROR(MATCH(I16,[1]BALLNAME289!$AH$2:$AH$60,0),0),IFERROR(MATCH(I16,[1]BALLNAME289!$AI$2:$AI$60,0),0),IFERROR(MATCH(I16,[1]BALLNAME289!$AJ$2:$AJ$60,0),0),IFERROR(MATCH(I16,[1]BALLNAME289!$AK$2:$AK$60,0),0),IFERROR(MATCH(I16,[1]BALLNAME289!$AL$2:$AL$60,0),0),IFERROR(MATCH(I16,[1]BALLNAME289!$AM$2:$AM$60,0),0),IFERROR(MATCH(I16,[1]BALLNAME289!$AN$2:$AN$60,0),0),IFERROR(MATCH(I16,[1]BALLNAME289!$AO$2:$AO$60,0),0),IFERROR(MATCH(I16,[1]BALLNAME289!$AP$2:$AP$60,0),0),IFERROR(MATCH(I16,[1]BALLNAME289!$AQ$2:$AQ$60,0),0),IFERROR(MATCH(I16,[1]BALLNAME289!$AR$2:$AR$60,0),0),IFERROR(MATCH(I16,[1]BALLNAME289!$AS$2:$AS$60,0),0),IFERROR(MATCH(I16,[1]BALLNAME289!$AT$2:$AT$60,0),0),IFERROR(MATCH(I16,[1]BALLNAME289!$AU$2:$AU$60,0),0),IFERROR(MATCH(I16,[1]BALLNAME289!$AV$2:$AV$60,0),0),IFERROR(MATCH(I16,[1]BALLNAME289!$AW$2:$AW$60,0),0),IFERROR(MATCH(I16,[1]BALLNAME289!$AX$2:$AX$60,0),0),IFERROR(MATCH(I16,[1]BALLNAME289!$AY$2:$AY$60,0),0),IFERROR(MATCH(I16,[1]BALLNAME289!$AZ$2:$AZ$60,0),0))</f>
        <v>32</v>
      </c>
      <c r="E16" s="4">
        <f>MAX(IFERROR(MATCH(I16,[1]BALLNAME289!$B$2:$AZ$2,0),0),IFERROR(MATCH(I16,[1]BALLNAME289!$B$3:$AZ$3,0),0),IFERROR(MATCH(I16,[1]BALLNAME289!$B$4:$AZ$4,0),0),IFERROR(MATCH(I16,[1]BALLNAME289!$B$5:$AZ$5,0),0),IFERROR(MATCH(I16,[1]BALLNAME289!$B$6:$AZ$6,0),0),IFERROR(MATCH(I16,[1]BALLNAME289!$B$7:$AZ$7,0),0),IFERROR(MATCH(I16,[1]BALLNAME289!$B$8:$AZ$8,0),0),IFERROR(MATCH(I16,[1]BALLNAME289!$B$9:$AZ$9,0),0),IFERROR(MATCH(I16,[1]BALLNAME289!$B$10:$AZ$10,0),0),IFERROR(MATCH(I16,[1]BALLNAME289!$B$11:$AZ$11,0),0),IFERROR(MATCH(I16,[1]BALLNAME289!$B$12:$AZ$12,0),0),IFERROR(MATCH(I16,[1]BALLNAME289!$B$13:$AZ$13,0),0),IFERROR(MATCH(I16,[1]BALLNAME289!$B$14:$AZ$14,0),0),IFERROR(MATCH(I16,[1]BALLNAME289!$B$15:$AZ$15,0),0),IFERROR(MATCH(I16,[1]BALLNAME289!$B$16:$AZ$16,0),0),IFERROR(MATCH(I16,[1]BALLNAME289!$B$17:$AZ$17,0),0),IFERROR(MATCH(I16,[1]BALLNAME289!$B$18:$AZ$18,0),0),IFERROR(MATCH(I16,[1]BALLNAME289!$B$19:$AZ$19,0),0),IFERROR(MATCH(I16,[1]BALLNAME289!$B$20:$AZ$20,0),0),IFERROR(MATCH(I16,[1]BALLNAME289!$B$21:$AZ$21,0),0),IFERROR(MATCH(I16,[1]BALLNAME289!$B$22:$AZ$22,0),0),IFERROR(MATCH(I16,[1]BALLNAME289!$B$23:$AZ$23,0),0),IFERROR(MATCH(I16,[1]BALLNAME289!$B$24:$AZ$24,0),0),IFERROR(MATCH(I16,[1]BALLNAME289!$B$25:$AZ$25,0),0),IFERROR(MATCH(I16,[1]BALLNAME289!$B$26:$AZ$26,0),0),IFERROR(MATCH(I16,[1]BALLNAME289!$B$27:$AZ$27,0),0),IFERROR(MATCH(I16,[1]BALLNAME289!$B$28:$AZ$28,0),0),IFERROR(MATCH(I16,[1]BALLNAME289!$B$29:$AZ$29,0),0),IFERROR(MATCH(I16,[1]BALLNAME289!$B$30:$AZ$30,0),0),IFERROR(MATCH(I16,[1]BALLNAME289!$B$31:$AZ$31,0),0),IFERROR(MATCH(I16,[1]BALLNAME289!$B$32:$AZ$32,0),0),IFERROR(MATCH(I16,[1]BALLNAME289!$B$33:$AZ$33,0),0),IFERROR(MATCH(I16,[1]BALLNAME289!$B$34:$AZ$34,0),0),IFERROR(MATCH(I16,[1]BALLNAME289!$B$35:$AZ$35,0),0),IFERROR(MATCH(I16,[1]BALLNAME289!$B$36:$AZ$36,0),0),IFERROR(MATCH(I16,[1]BALLNAME289!$B$37:$AZ$37,0),0),IFERROR(MATCH(I16,[1]BALLNAME289!$B$38:$AZ$38,0),0),IFERROR(MATCH(I16,[1]BALLNAME289!$B$39:$AZ$39,0),0),IFERROR(MATCH(I16,[1]BALLNAME289!$B$40:$AZ$40,0),0),IFERROR(MATCH(I16,[1]BALLNAME289!$B$41:$AZ$41,0),0),IFERROR(MATCH(I16,[1]BALLNAME289!$B$42:$AZ$42,0),0),IFERROR(MATCH(I16,[1]BALLNAME289!$B$43:$AZ$43,0),0),IFERROR(MATCH(I16,[1]BALLNAME289!$B$44:$AZ$44,0),0),IFERROR(MATCH(I16,[1]BALLNAME289!$B$45:$AZ$45,0),0),IFERROR(MATCH(I16,[1]BALLNAME289!$B$46:$AZ$46,0),0),IFERROR(MATCH(I16,[1]BALLNAME289!$B$47:$AZ$47,0),0),IFERROR(MATCH(I16,[1]BALLNAME289!$B$48:$AZ$48,0),0),IFERROR(MATCH(I16,[1]BALLNAME289!$B$49:$AZ$49,0),0),IFERROR(MATCH(I16,[1]BALLNAME289!$B$50:$AZ$50,0),0),IFERROR(MATCH(I16,[1]BALLNAME289!$B$51:$AZ$51,0),0),IFERROR(MATCH(I16,[1]BALLNAME289!$B$52:$AZ$52,0),0),IFERROR(MATCH(I16,[1]BALLNAME289!$B$53:$AZ$53,0),0),IFERROR(MATCH(I16,[1]BALLNAME289!$B$54:$AZ$54,0),0),IFERROR(MATCH(I16,[1]BALLNAME289!$B$55:$AZ$55,0),0),IFERROR(MATCH(I16,[1]BALLNAME289!$B$56:$AZ$56,0),0),IFERROR(MATCH(I16,[1]BALLNAME289!$B$57:$AZ$57,0),0),IFERROR(MATCH(I16,[1]BALLNAME289!$B$58:$AZ$58,0),0),IFERROR(MATCH(I16,[1]BALLNAME289!$B$59:$AZ$59,0),0),IFERROR(MATCH(I16,[1]BALLNAME289!$B$60:$AZ$60,0),0))</f>
        <v>2</v>
      </c>
      <c r="F16" s="4" t="str">
        <f ca="1">OFFSET([1]BALLNAME144!$A$2,D16-1,0)&amp;OFFSET([1]BALLNAME144!$B$1,0,E16-1)</f>
        <v>2</v>
      </c>
      <c r="G16" s="4">
        <f t="shared" si="0"/>
        <v>33</v>
      </c>
      <c r="H16" s="4">
        <f t="shared" si="0"/>
        <v>3</v>
      </c>
      <c r="I16" s="4" t="s">
        <v>2257</v>
      </c>
      <c r="J16" s="4">
        <v>2</v>
      </c>
      <c r="K16" s="4" t="s">
        <v>2168</v>
      </c>
      <c r="L16" s="4" t="s">
        <v>57</v>
      </c>
      <c r="M16" s="4"/>
      <c r="N16" s="4" t="s">
        <v>2304</v>
      </c>
      <c r="O16" s="4" t="s">
        <v>2277</v>
      </c>
      <c r="P16" s="4" t="s">
        <v>2277</v>
      </c>
      <c r="Q16" s="4" t="s">
        <v>2305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 t="s">
        <v>2256</v>
      </c>
    </row>
    <row r="17" spans="1:52" x14ac:dyDescent="0.3">
      <c r="A17" s="4">
        <f>MAX(IFERROR(MATCH(I17,[1]BALLNAME289_head!$B$2:$B$23,0),0),IFERROR(MATCH(I17,[1]BALLNAME289_head!$C$2:$C$22,0),0),IFERROR(MATCH(I17,[1]BALLNAME289_head!$D$2:$D$23,0),0),IFERROR(MATCH(I17,[1]BALLNAME289_head!$E$19:$E$22,0),0),IFERROR(MATCH(I17,[1]BALLNAME289_head!$F$2:$F$21,0),0),IFERROR(MATCH(I17,[1]BALLNAME289_head!$G$2:$G$19,0),0),IFERROR(MATCH(I17,[1]BALLNAME289_head!$H$2:$H$21,0),0),IFERROR(MATCH(I17,[1]BALLNAME289_head!$I$2:$I$19,0),0),IFERROR(MATCH(I17,[1]BALLNAME289_head!$J$2:$J$23,0),0),IFERROR(MATCH(I17,[1]BALLNAME289_head!$K$2:$K$23,0),0),IFERROR(MATCH(I17,[1]BALLNAME289_head!$L$2:$L$22,0),0),IFERROR(MATCH(I17,[1]BALLNAME289_head!$M$2:$M$23,0),0),IFERROR(MATCH(I17,[1]BALLNAME289_head!$N$2:$N$23,0),0),IFERROR(MATCH(I17,[1]BALLNAME289_head!$O$2:$O$19,0),0),IFERROR(MATCH(I17,[1]BALLNAME289_head!#REF!,0),0),IFERROR(MATCH(I17,[1]BALLNAME289_head!$Q$2:$Q$19,0),0),IFERROR(MATCH(I17,[1]BALLNAME289_head!$R$2:$R$19,0),0),IFERROR(MATCH(I17,[1]BALLNAME289_head!$S$2:$S$22,0),0),IFERROR(MATCH(I17,[1]BALLNAME289_head!$T$2:$T$22,0),0),IFERROR(MATCH(I17,[1]BALLNAME289_head!$AA$2:$AA$27,0),0),IFERROR(MATCH(I17,[1]BALLNAME289_head!$AB$2:$AB$27,0),0),IFERROR(MATCH(I17,[1]BALLNAME289_head!$AC$2:$AC$27,0),0))</f>
        <v>0</v>
      </c>
      <c r="B17" s="4">
        <f>MAX(IFERROR(MATCH(I17,[1]BALLNAME289_head!$B$2:$AA$2,0),0),IFERROR(MATCH(I17,[1]BALLNAME289_head!$B$3:$AA$3,0),0),IFERROR(MATCH(I17,[1]BALLNAME289_head!$B$4:$AA$4,0),0),IFERROR(MATCH(I17,[1]BALLNAME289_head!$B$5:$S$5,0),0),IFERROR(MATCH(I17,[1]BALLNAME289_head!$B$6:$AA$6,0),0),IFERROR(MATCH(I17,[1]BALLNAME289_head!$B$7:$S$7,0),0),IFERROR(MATCH(I17,[1]BALLNAME289_head!$B$8:$T$8,0),0),IFERROR(MATCH(I17,[1]BALLNAME289_head!$B$9:$T$9,0),0),IFERROR(MATCH(I17,[1]BALLNAME289_head!$B$10:$AC$10,0),0),IFERROR(MATCH(I17,[1]BALLNAME289_head!$B$11:$AC$11,0),0),IFERROR(MATCH(I17,[1]BALLNAME289_head!$B$12:$AC$12,0),0),IFERROR(MATCH(I17,[1]BALLNAME289_head!$B$13:$V$13,0),0),IFERROR(MATCH(I17,[1]BALLNAME289_head!$B$14:$AA$14,0),0),IFERROR(MATCH(I17,[1]BALLNAME289_head!$B$15:$AA$15,0),0),IFERROR(MATCH(I17,[1]BALLNAME289_head!#REF!,0),0),IFERROR(MATCH(I17,[1]BALLNAME289_head!#REF!,0),0),IFERROR(MATCH(I17,[1]BALLNAME289_head!#REF!,0),0),IFERROR(MATCH(I17,[1]BALLNAME289_head!$B$19:$AA$19,0),0),IFERROR(MATCH(I17,[1]BALLNAME289_head!$B$20:$AA$20,0),0),IFERROR(MATCH(I17,[1]BALLNAME289_head!$B$21:$Z$21,0),0),IFERROR(MATCH(I17,[1]BALLNAME289_head!$B$22:$J$22,0),0),IFERROR(MATCH(I17,[1]BALLNAME289_head!$B$23:$Z$23,0),0))</f>
        <v>0</v>
      </c>
      <c r="C17" s="4" t="str">
        <f ca="1">OFFSET([1]BALLNAME289_head!$A$2,[1]PINMUX!CM17-1,0)&amp;OFFSET([1]BALLNAME289_head!$B$1,0,[1]PINMUX!CN17-1)</f>
        <v/>
      </c>
      <c r="D17" s="4">
        <f>MAX(IFERROR(MATCH(I17,[1]BALLNAME289!$B$2:$B$60,0),0),IFERROR(MATCH(I17,[1]BALLNAME289!$C$2:$C$60,0),0),IFERROR(MATCH(I17,[1]BALLNAME289!$D$2:$D$60,0),0),IFERROR(MATCH(I17,[1]BALLNAME289!$E$2:$E$60,0),0),IFERROR(MATCH(I17,[1]BALLNAME289!$F$2:$F$60,0),0),IFERROR(MATCH(I17,[1]BALLNAME289!$G$2:$G$60,0),0),IFERROR(MATCH(I17,[1]BALLNAME289!$H$2:$H$60,0),0),IFERROR(MATCH(I17,[1]BALLNAME289!$I$2:$I$60,0),0),IFERROR(MATCH(I17,[1]BALLNAME289!$J$2:$J$60,0),0),IFERROR(MATCH(I17,[1]BALLNAME289!$K$2:$K$60,0),0),IFERROR(MATCH(I17,[1]BALLNAME289!$L$2:$L$60,0),0),IFERROR(MATCH(I17,[1]BALLNAME289!$M$2:$M$60,0),0),IFERROR(MATCH(I17,[1]BALLNAME289!$N$2:$N$60,0),0),IFERROR(MATCH(I17,[1]BALLNAME289!$O$2:$O$60,0),0),IFERROR(MATCH(I17,[1]BALLNAME289!$P$2:$P$60,0),0),IFERROR(MATCH(I17,[1]BALLNAME289!$Q$2:$Q$60,0),0),IFERROR(MATCH(I17,[1]BALLNAME289!$R$2:$R$60,0),0),IFERROR(MATCH(I17,[1]BALLNAME289!$S$2:$S$60,0),0),IFERROR(MATCH(I17,[1]BALLNAME289!$T$2:$T$60,0),0),IFERROR(MATCH(I17,[1]BALLNAME289!$U$2:$U$60,0),0),IFERROR(MATCH(I17,[1]BALLNAME289!$V$2:$V$60,0),0),IFERROR(MATCH(I17,[1]BALLNAME289!$W$2:$W$60,0),0),IFERROR(MATCH(I17,[1]BALLNAME289!$X$2:$X$60,0),0),IFERROR(MATCH(I17,[1]BALLNAME289!$Y$2:$Y$60,0),0),IFERROR(MATCH(I17,[1]BALLNAME289!$Z$2:$Z$60,0),0),IFERROR(MATCH(I17,[1]BALLNAME289!$AA$2:$AA$60,0),0),IFERROR(MATCH(I17,[1]BALLNAME289!$AB$2:$AB$60,0),0),IFERROR(MATCH(I17,[1]BALLNAME289!$AC$2:$AC$60,0),0),IFERROR(MATCH(I17,[1]BALLNAME289!$AD$2:$AD$60,0),0),IFERROR(MATCH(I17,[1]BALLNAME289!$AE$2:$AE$60,0),0),IFERROR(MATCH(I17,[1]BALLNAME289!$AF$2:$AF$60,0),0),IFERROR(MATCH(I17,[1]BALLNAME289!$AG$2:$AG$60,0),0),IFERROR(MATCH(I17,[1]BALLNAME289!$AH$2:$AH$60,0),0),IFERROR(MATCH(I17,[1]BALLNAME289!$AI$2:$AI$60,0),0),IFERROR(MATCH(I17,[1]BALLNAME289!$AJ$2:$AJ$60,0),0),IFERROR(MATCH(I17,[1]BALLNAME289!$AK$2:$AK$60,0),0),IFERROR(MATCH(I17,[1]BALLNAME289!$AL$2:$AL$60,0),0),IFERROR(MATCH(I17,[1]BALLNAME289!$AM$2:$AM$60,0),0),IFERROR(MATCH(I17,[1]BALLNAME289!$AN$2:$AN$60,0),0),IFERROR(MATCH(I17,[1]BALLNAME289!$AO$2:$AO$60,0),0),IFERROR(MATCH(I17,[1]BALLNAME289!$AP$2:$AP$60,0),0),IFERROR(MATCH(I17,[1]BALLNAME289!$AQ$2:$AQ$60,0),0),IFERROR(MATCH(I17,[1]BALLNAME289!$AR$2:$AR$60,0),0),IFERROR(MATCH(I17,[1]BALLNAME289!$AS$2:$AS$60,0),0),IFERROR(MATCH(I17,[1]BALLNAME289!$AT$2:$AT$60,0),0),IFERROR(MATCH(I17,[1]BALLNAME289!$AU$2:$AU$60,0),0),IFERROR(MATCH(I17,[1]BALLNAME289!$AV$2:$AV$60,0),0),IFERROR(MATCH(I17,[1]BALLNAME289!$AW$2:$AW$60,0),0),IFERROR(MATCH(I17,[1]BALLNAME289!$AX$2:$AX$60,0),0),IFERROR(MATCH(I17,[1]BALLNAME289!$AY$2:$AY$60,0),0),IFERROR(MATCH(I17,[1]BALLNAME289!$AZ$2:$AZ$60,0),0))</f>
        <v>33</v>
      </c>
      <c r="E17" s="4">
        <f>MAX(IFERROR(MATCH(I17,[1]BALLNAME289!$B$2:$AZ$2,0),0),IFERROR(MATCH(I17,[1]BALLNAME289!$B$3:$AZ$3,0),0),IFERROR(MATCH(I17,[1]BALLNAME289!$B$4:$AZ$4,0),0),IFERROR(MATCH(I17,[1]BALLNAME289!$B$5:$AZ$5,0),0),IFERROR(MATCH(I17,[1]BALLNAME289!$B$6:$AZ$6,0),0),IFERROR(MATCH(I17,[1]BALLNAME289!$B$7:$AZ$7,0),0),IFERROR(MATCH(I17,[1]BALLNAME289!$B$8:$AZ$8,0),0),IFERROR(MATCH(I17,[1]BALLNAME289!$B$9:$AZ$9,0),0),IFERROR(MATCH(I17,[1]BALLNAME289!$B$10:$AZ$10,0),0),IFERROR(MATCH(I17,[1]BALLNAME289!$B$11:$AZ$11,0),0),IFERROR(MATCH(I17,[1]BALLNAME289!$B$12:$AZ$12,0),0),IFERROR(MATCH(I17,[1]BALLNAME289!$B$13:$AZ$13,0),0),IFERROR(MATCH(I17,[1]BALLNAME289!$B$14:$AZ$14,0),0),IFERROR(MATCH(I17,[1]BALLNAME289!$B$15:$AZ$15,0),0),IFERROR(MATCH(I17,[1]BALLNAME289!$B$16:$AZ$16,0),0),IFERROR(MATCH(I17,[1]BALLNAME289!$B$17:$AZ$17,0),0),IFERROR(MATCH(I17,[1]BALLNAME289!$B$18:$AZ$18,0),0),IFERROR(MATCH(I17,[1]BALLNAME289!$B$19:$AZ$19,0),0),IFERROR(MATCH(I17,[1]BALLNAME289!$B$20:$AZ$20,0),0),IFERROR(MATCH(I17,[1]BALLNAME289!$B$21:$AZ$21,0),0),IFERROR(MATCH(I17,[1]BALLNAME289!$B$22:$AZ$22,0),0),IFERROR(MATCH(I17,[1]BALLNAME289!$B$23:$AZ$23,0),0),IFERROR(MATCH(I17,[1]BALLNAME289!$B$24:$AZ$24,0),0),IFERROR(MATCH(I17,[1]BALLNAME289!$B$25:$AZ$25,0),0),IFERROR(MATCH(I17,[1]BALLNAME289!$B$26:$AZ$26,0),0),IFERROR(MATCH(I17,[1]BALLNAME289!$B$27:$AZ$27,0),0),IFERROR(MATCH(I17,[1]BALLNAME289!$B$28:$AZ$28,0),0),IFERROR(MATCH(I17,[1]BALLNAME289!$B$29:$AZ$29,0),0),IFERROR(MATCH(I17,[1]BALLNAME289!$B$30:$AZ$30,0),0),IFERROR(MATCH(I17,[1]BALLNAME289!$B$31:$AZ$31,0),0),IFERROR(MATCH(I17,[1]BALLNAME289!$B$32:$AZ$32,0),0),IFERROR(MATCH(I17,[1]BALLNAME289!$B$33:$AZ$33,0),0),IFERROR(MATCH(I17,[1]BALLNAME289!$B$34:$AZ$34,0),0),IFERROR(MATCH(I17,[1]BALLNAME289!$B$35:$AZ$35,0),0),IFERROR(MATCH(I17,[1]BALLNAME289!$B$36:$AZ$36,0),0),IFERROR(MATCH(I17,[1]BALLNAME289!$B$37:$AZ$37,0),0),IFERROR(MATCH(I17,[1]BALLNAME289!$B$38:$AZ$38,0),0),IFERROR(MATCH(I17,[1]BALLNAME289!$B$39:$AZ$39,0),0),IFERROR(MATCH(I17,[1]BALLNAME289!$B$40:$AZ$40,0),0),IFERROR(MATCH(I17,[1]BALLNAME289!$B$41:$AZ$41,0),0),IFERROR(MATCH(I17,[1]BALLNAME289!$B$42:$AZ$42,0),0),IFERROR(MATCH(I17,[1]BALLNAME289!$B$43:$AZ$43,0),0),IFERROR(MATCH(I17,[1]BALLNAME289!$B$44:$AZ$44,0),0),IFERROR(MATCH(I17,[1]BALLNAME289!$B$45:$AZ$45,0),0),IFERROR(MATCH(I17,[1]BALLNAME289!$B$46:$AZ$46,0),0),IFERROR(MATCH(I17,[1]BALLNAME289!$B$47:$AZ$47,0),0),IFERROR(MATCH(I17,[1]BALLNAME289!$B$48:$AZ$48,0),0),IFERROR(MATCH(I17,[1]BALLNAME289!$B$49:$AZ$49,0),0),IFERROR(MATCH(I17,[1]BALLNAME289!$B$50:$AZ$50,0),0),IFERROR(MATCH(I17,[1]BALLNAME289!$B$51:$AZ$51,0),0),IFERROR(MATCH(I17,[1]BALLNAME289!$B$52:$AZ$52,0),0),IFERROR(MATCH(I17,[1]BALLNAME289!$B$53:$AZ$53,0),0),IFERROR(MATCH(I17,[1]BALLNAME289!$B$54:$AZ$54,0),0),IFERROR(MATCH(I17,[1]BALLNAME289!$B$55:$AZ$55,0),0),IFERROR(MATCH(I17,[1]BALLNAME289!$B$56:$AZ$56,0),0),IFERROR(MATCH(I17,[1]BALLNAME289!$B$57:$AZ$57,0),0),IFERROR(MATCH(I17,[1]BALLNAME289!$B$58:$AZ$58,0),0),IFERROR(MATCH(I17,[1]BALLNAME289!$B$59:$AZ$59,0),0),IFERROR(MATCH(I17,[1]BALLNAME289!$B$60:$AZ$60,0),0))</f>
        <v>1</v>
      </c>
      <c r="F17" s="4" t="str">
        <f ca="1">OFFSET([1]BALLNAME144!$A$2,D17-1,0)&amp;OFFSET([1]BALLNAME144!$B$1,0,E17-1)</f>
        <v>1</v>
      </c>
      <c r="G17" s="4">
        <f t="shared" si="0"/>
        <v>34</v>
      </c>
      <c r="H17" s="4">
        <f t="shared" si="0"/>
        <v>2</v>
      </c>
      <c r="I17" s="4" t="s">
        <v>2258</v>
      </c>
      <c r="J17" s="4">
        <v>2</v>
      </c>
      <c r="K17" s="4" t="s">
        <v>2168</v>
      </c>
      <c r="L17" s="4" t="s">
        <v>57</v>
      </c>
      <c r="M17" s="4"/>
      <c r="N17" s="4" t="s">
        <v>2306</v>
      </c>
      <c r="O17" s="4" t="s">
        <v>2277</v>
      </c>
      <c r="P17" s="4" t="s">
        <v>2277</v>
      </c>
      <c r="Q17" s="4" t="s">
        <v>2307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 t="s">
        <v>2256</v>
      </c>
    </row>
    <row r="18" spans="1:52" x14ac:dyDescent="0.3">
      <c r="A18" s="4">
        <f>MAX(IFERROR(MATCH(I18,[1]BALLNAME289_head!$B$2:$B$23,0),0),IFERROR(MATCH(I18,[1]BALLNAME289_head!$C$2:$C$22,0),0),IFERROR(MATCH(I18,[1]BALLNAME289_head!$D$2:$D$23,0),0),IFERROR(MATCH(I18,[1]BALLNAME289_head!$E$19:$E$22,0),0),IFERROR(MATCH(I18,[1]BALLNAME289_head!$F$2:$F$21,0),0),IFERROR(MATCH(I18,[1]BALLNAME289_head!$G$2:$G$19,0),0),IFERROR(MATCH(I18,[1]BALLNAME289_head!$H$2:$H$21,0),0),IFERROR(MATCH(I18,[1]BALLNAME289_head!$I$2:$I$19,0),0),IFERROR(MATCH(I18,[1]BALLNAME289_head!$J$2:$J$23,0),0),IFERROR(MATCH(I18,[1]BALLNAME289_head!$K$2:$K$23,0),0),IFERROR(MATCH(I18,[1]BALLNAME289_head!$L$2:$L$22,0),0),IFERROR(MATCH(I18,[1]BALLNAME289_head!$M$2:$M$23,0),0),IFERROR(MATCH(I18,[1]BALLNAME289_head!$N$2:$N$23,0),0),IFERROR(MATCH(I18,[1]BALLNAME289_head!$O$2:$O$19,0),0),IFERROR(MATCH(I18,[1]BALLNAME289_head!#REF!,0),0),IFERROR(MATCH(I18,[1]BALLNAME289_head!$Q$2:$Q$19,0),0),IFERROR(MATCH(I18,[1]BALLNAME289_head!$R$2:$R$19,0),0),IFERROR(MATCH(I18,[1]BALLNAME289_head!$S$2:$S$22,0),0),IFERROR(MATCH(I18,[1]BALLNAME289_head!$T$2:$T$22,0),0),IFERROR(MATCH(I18,[1]BALLNAME289_head!$AA$2:$AA$27,0),0),IFERROR(MATCH(I18,[1]BALLNAME289_head!$AB$2:$AB$27,0),0),IFERROR(MATCH(I18,[1]BALLNAME289_head!$AC$2:$AC$27,0),0))</f>
        <v>0</v>
      </c>
      <c r="B18" s="4">
        <f>MAX(IFERROR(MATCH(I18,[1]BALLNAME289_head!$B$2:$AA$2,0),0),IFERROR(MATCH(I18,[1]BALLNAME289_head!$B$3:$AA$3,0),0),IFERROR(MATCH(I18,[1]BALLNAME289_head!$B$4:$AA$4,0),0),IFERROR(MATCH(I18,[1]BALLNAME289_head!$B$5:$S$5,0),0),IFERROR(MATCH(I18,[1]BALLNAME289_head!$B$6:$AA$6,0),0),IFERROR(MATCH(I18,[1]BALLNAME289_head!$B$7:$S$7,0),0),IFERROR(MATCH(I18,[1]BALLNAME289_head!$B$8:$T$8,0),0),IFERROR(MATCH(I18,[1]BALLNAME289_head!$B$9:$T$9,0),0),IFERROR(MATCH(I18,[1]BALLNAME289_head!$B$10:$AC$10,0),0),IFERROR(MATCH(I18,[1]BALLNAME289_head!$B$11:$AC$11,0),0),IFERROR(MATCH(I18,[1]BALLNAME289_head!$B$12:$AC$12,0),0),IFERROR(MATCH(I18,[1]BALLNAME289_head!$B$13:$V$13,0),0),IFERROR(MATCH(I18,[1]BALLNAME289_head!$B$14:$AA$14,0),0),IFERROR(MATCH(I18,[1]BALLNAME289_head!$B$15:$AA$15,0),0),IFERROR(MATCH(I18,[1]BALLNAME289_head!#REF!,0),0),IFERROR(MATCH(I18,[1]BALLNAME289_head!#REF!,0),0),IFERROR(MATCH(I18,[1]BALLNAME289_head!#REF!,0),0),IFERROR(MATCH(I18,[1]BALLNAME289_head!$B$19:$AA$19,0),0),IFERROR(MATCH(I18,[1]BALLNAME289_head!$B$20:$AA$20,0),0),IFERROR(MATCH(I18,[1]BALLNAME289_head!$B$21:$Z$21,0),0),IFERROR(MATCH(I18,[1]BALLNAME289_head!$B$22:$J$22,0),0),IFERROR(MATCH(I18,[1]BALLNAME289_head!$B$23:$Z$23,0),0))</f>
        <v>0</v>
      </c>
      <c r="C18" s="4" t="str">
        <f ca="1">OFFSET([1]BALLNAME289_head!$A$2,[1]PINMUX!CM18-1,0)&amp;OFFSET([1]BALLNAME289_head!$B$1,0,[1]PINMUX!CN18-1)</f>
        <v/>
      </c>
      <c r="D18" s="4">
        <f>MAX(IFERROR(MATCH(I18,[1]BALLNAME289!$B$2:$B$60,0),0),IFERROR(MATCH(I18,[1]BALLNAME289!$C$2:$C$60,0),0),IFERROR(MATCH(I18,[1]BALLNAME289!$D$2:$D$60,0),0),IFERROR(MATCH(I18,[1]BALLNAME289!$E$2:$E$60,0),0),IFERROR(MATCH(I18,[1]BALLNAME289!$F$2:$F$60,0),0),IFERROR(MATCH(I18,[1]BALLNAME289!$G$2:$G$60,0),0),IFERROR(MATCH(I18,[1]BALLNAME289!$H$2:$H$60,0),0),IFERROR(MATCH(I18,[1]BALLNAME289!$I$2:$I$60,0),0),IFERROR(MATCH(I18,[1]BALLNAME289!$J$2:$J$60,0),0),IFERROR(MATCH(I18,[1]BALLNAME289!$K$2:$K$60,0),0),IFERROR(MATCH(I18,[1]BALLNAME289!$L$2:$L$60,0),0),IFERROR(MATCH(I18,[1]BALLNAME289!$M$2:$M$60,0),0),IFERROR(MATCH(I18,[1]BALLNAME289!$N$2:$N$60,0),0),IFERROR(MATCH(I18,[1]BALLNAME289!$O$2:$O$60,0),0),IFERROR(MATCH(I18,[1]BALLNAME289!$P$2:$P$60,0),0),IFERROR(MATCH(I18,[1]BALLNAME289!$Q$2:$Q$60,0),0),IFERROR(MATCH(I18,[1]BALLNAME289!$R$2:$R$60,0),0),IFERROR(MATCH(I18,[1]BALLNAME289!$S$2:$S$60,0),0),IFERROR(MATCH(I18,[1]BALLNAME289!$T$2:$T$60,0),0),IFERROR(MATCH(I18,[1]BALLNAME289!$U$2:$U$60,0),0),IFERROR(MATCH(I18,[1]BALLNAME289!$V$2:$V$60,0),0),IFERROR(MATCH(I18,[1]BALLNAME289!$W$2:$W$60,0),0),IFERROR(MATCH(I18,[1]BALLNAME289!$X$2:$X$60,0),0),IFERROR(MATCH(I18,[1]BALLNAME289!$Y$2:$Y$60,0),0),IFERROR(MATCH(I18,[1]BALLNAME289!$Z$2:$Z$60,0),0),IFERROR(MATCH(I18,[1]BALLNAME289!$AA$2:$AA$60,0),0),IFERROR(MATCH(I18,[1]BALLNAME289!$AB$2:$AB$60,0),0),IFERROR(MATCH(I18,[1]BALLNAME289!$AC$2:$AC$60,0),0),IFERROR(MATCH(I18,[1]BALLNAME289!$AD$2:$AD$60,0),0),IFERROR(MATCH(I18,[1]BALLNAME289!$AE$2:$AE$60,0),0),IFERROR(MATCH(I18,[1]BALLNAME289!$AF$2:$AF$60,0),0),IFERROR(MATCH(I18,[1]BALLNAME289!$AG$2:$AG$60,0),0),IFERROR(MATCH(I18,[1]BALLNAME289!$AH$2:$AH$60,0),0),IFERROR(MATCH(I18,[1]BALLNAME289!$AI$2:$AI$60,0),0),IFERROR(MATCH(I18,[1]BALLNAME289!$AJ$2:$AJ$60,0),0),IFERROR(MATCH(I18,[1]BALLNAME289!$AK$2:$AK$60,0),0),IFERROR(MATCH(I18,[1]BALLNAME289!$AL$2:$AL$60,0),0),IFERROR(MATCH(I18,[1]BALLNAME289!$AM$2:$AM$60,0),0),IFERROR(MATCH(I18,[1]BALLNAME289!$AN$2:$AN$60,0),0),IFERROR(MATCH(I18,[1]BALLNAME289!$AO$2:$AO$60,0),0),IFERROR(MATCH(I18,[1]BALLNAME289!$AP$2:$AP$60,0),0),IFERROR(MATCH(I18,[1]BALLNAME289!$AQ$2:$AQ$60,0),0),IFERROR(MATCH(I18,[1]BALLNAME289!$AR$2:$AR$60,0),0),IFERROR(MATCH(I18,[1]BALLNAME289!$AS$2:$AS$60,0),0),IFERROR(MATCH(I18,[1]BALLNAME289!$AT$2:$AT$60,0),0),IFERROR(MATCH(I18,[1]BALLNAME289!$AU$2:$AU$60,0),0),IFERROR(MATCH(I18,[1]BALLNAME289!$AV$2:$AV$60,0),0),IFERROR(MATCH(I18,[1]BALLNAME289!$AW$2:$AW$60,0),0),IFERROR(MATCH(I18,[1]BALLNAME289!$AX$2:$AX$60,0),0),IFERROR(MATCH(I18,[1]BALLNAME289!$AY$2:$AY$60,0),0),IFERROR(MATCH(I18,[1]BALLNAME289!$AZ$2:$AZ$60,0),0))</f>
        <v>32</v>
      </c>
      <c r="E18" s="4">
        <f>MAX(IFERROR(MATCH(I18,[1]BALLNAME289!$B$2:$AZ$2,0),0),IFERROR(MATCH(I18,[1]BALLNAME289!$B$3:$AZ$3,0),0),IFERROR(MATCH(I18,[1]BALLNAME289!$B$4:$AZ$4,0),0),IFERROR(MATCH(I18,[1]BALLNAME289!$B$5:$AZ$5,0),0),IFERROR(MATCH(I18,[1]BALLNAME289!$B$6:$AZ$6,0),0),IFERROR(MATCH(I18,[1]BALLNAME289!$B$7:$AZ$7,0),0),IFERROR(MATCH(I18,[1]BALLNAME289!$B$8:$AZ$8,0),0),IFERROR(MATCH(I18,[1]BALLNAME289!$B$9:$AZ$9,0),0),IFERROR(MATCH(I18,[1]BALLNAME289!$B$10:$AZ$10,0),0),IFERROR(MATCH(I18,[1]BALLNAME289!$B$11:$AZ$11,0),0),IFERROR(MATCH(I18,[1]BALLNAME289!$B$12:$AZ$12,0),0),IFERROR(MATCH(I18,[1]BALLNAME289!$B$13:$AZ$13,0),0),IFERROR(MATCH(I18,[1]BALLNAME289!$B$14:$AZ$14,0),0),IFERROR(MATCH(I18,[1]BALLNAME289!$B$15:$AZ$15,0),0),IFERROR(MATCH(I18,[1]BALLNAME289!$B$16:$AZ$16,0),0),IFERROR(MATCH(I18,[1]BALLNAME289!$B$17:$AZ$17,0),0),IFERROR(MATCH(I18,[1]BALLNAME289!$B$18:$AZ$18,0),0),IFERROR(MATCH(I18,[1]BALLNAME289!$B$19:$AZ$19,0),0),IFERROR(MATCH(I18,[1]BALLNAME289!$B$20:$AZ$20,0),0),IFERROR(MATCH(I18,[1]BALLNAME289!$B$21:$AZ$21,0),0),IFERROR(MATCH(I18,[1]BALLNAME289!$B$22:$AZ$22,0),0),IFERROR(MATCH(I18,[1]BALLNAME289!$B$23:$AZ$23,0),0),IFERROR(MATCH(I18,[1]BALLNAME289!$B$24:$AZ$24,0),0),IFERROR(MATCH(I18,[1]BALLNAME289!$B$25:$AZ$25,0),0),IFERROR(MATCH(I18,[1]BALLNAME289!$B$26:$AZ$26,0),0),IFERROR(MATCH(I18,[1]BALLNAME289!$B$27:$AZ$27,0),0),IFERROR(MATCH(I18,[1]BALLNAME289!$B$28:$AZ$28,0),0),IFERROR(MATCH(I18,[1]BALLNAME289!$B$29:$AZ$29,0),0),IFERROR(MATCH(I18,[1]BALLNAME289!$B$30:$AZ$30,0),0),IFERROR(MATCH(I18,[1]BALLNAME289!$B$31:$AZ$31,0),0),IFERROR(MATCH(I18,[1]BALLNAME289!$B$32:$AZ$32,0),0),IFERROR(MATCH(I18,[1]BALLNAME289!$B$33:$AZ$33,0),0),IFERROR(MATCH(I18,[1]BALLNAME289!$B$34:$AZ$34,0),0),IFERROR(MATCH(I18,[1]BALLNAME289!$B$35:$AZ$35,0),0),IFERROR(MATCH(I18,[1]BALLNAME289!$B$36:$AZ$36,0),0),IFERROR(MATCH(I18,[1]BALLNAME289!$B$37:$AZ$37,0),0),IFERROR(MATCH(I18,[1]BALLNAME289!$B$38:$AZ$38,0),0),IFERROR(MATCH(I18,[1]BALLNAME289!$B$39:$AZ$39,0),0),IFERROR(MATCH(I18,[1]BALLNAME289!$B$40:$AZ$40,0),0),IFERROR(MATCH(I18,[1]BALLNAME289!$B$41:$AZ$41,0),0),IFERROR(MATCH(I18,[1]BALLNAME289!$B$42:$AZ$42,0),0),IFERROR(MATCH(I18,[1]BALLNAME289!$B$43:$AZ$43,0),0),IFERROR(MATCH(I18,[1]BALLNAME289!$B$44:$AZ$44,0),0),IFERROR(MATCH(I18,[1]BALLNAME289!$B$45:$AZ$45,0),0),IFERROR(MATCH(I18,[1]BALLNAME289!$B$46:$AZ$46,0),0),IFERROR(MATCH(I18,[1]BALLNAME289!$B$47:$AZ$47,0),0),IFERROR(MATCH(I18,[1]BALLNAME289!$B$48:$AZ$48,0),0),IFERROR(MATCH(I18,[1]BALLNAME289!$B$49:$AZ$49,0),0),IFERROR(MATCH(I18,[1]BALLNAME289!$B$50:$AZ$50,0),0),IFERROR(MATCH(I18,[1]BALLNAME289!$B$51:$AZ$51,0),0),IFERROR(MATCH(I18,[1]BALLNAME289!$B$52:$AZ$52,0),0),IFERROR(MATCH(I18,[1]BALLNAME289!$B$53:$AZ$53,0),0),IFERROR(MATCH(I18,[1]BALLNAME289!$B$54:$AZ$54,0),0),IFERROR(MATCH(I18,[1]BALLNAME289!$B$55:$AZ$55,0),0),IFERROR(MATCH(I18,[1]BALLNAME289!$B$56:$AZ$56,0),0),IFERROR(MATCH(I18,[1]BALLNAME289!$B$57:$AZ$57,0),0),IFERROR(MATCH(I18,[1]BALLNAME289!$B$58:$AZ$58,0),0),IFERROR(MATCH(I18,[1]BALLNAME289!$B$59:$AZ$59,0),0),IFERROR(MATCH(I18,[1]BALLNAME289!$B$60:$AZ$60,0),0))</f>
        <v>1</v>
      </c>
      <c r="F18" s="4" t="str">
        <f ca="1">OFFSET([1]BALLNAME144!$A$2,D18-1,0)&amp;OFFSET([1]BALLNAME144!$B$1,0,E18-1)</f>
        <v>1</v>
      </c>
      <c r="G18" s="4">
        <f t="shared" si="0"/>
        <v>33</v>
      </c>
      <c r="H18" s="4">
        <f t="shared" si="0"/>
        <v>2</v>
      </c>
      <c r="I18" s="4" t="s">
        <v>2259</v>
      </c>
      <c r="J18" s="4">
        <v>2</v>
      </c>
      <c r="K18" s="4" t="s">
        <v>2168</v>
      </c>
      <c r="L18" s="4" t="s">
        <v>57</v>
      </c>
      <c r="M18" s="4"/>
      <c r="N18" s="4" t="s">
        <v>2308</v>
      </c>
      <c r="O18" s="4" t="s">
        <v>2277</v>
      </c>
      <c r="P18" s="4" t="s">
        <v>2277</v>
      </c>
      <c r="Q18" s="4" t="s">
        <v>2309</v>
      </c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 t="s">
        <v>2256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PINMUX</vt:lpstr>
      <vt:lpstr>PINMUX_PMIC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YaoLin</dc:creator>
  <cp:lastModifiedBy>YaoLin</cp:lastModifiedBy>
  <dcterms:created xsi:type="dcterms:W3CDTF">2023-12-14T02:11:01Z</dcterms:created>
  <dcterms:modified xsi:type="dcterms:W3CDTF">2023-12-15T06:47:08Z</dcterms:modified>
</cp:coreProperties>
</file>